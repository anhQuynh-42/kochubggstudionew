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iến dịch" sheetId="1" state="visible" r:id="rId3"/>
    <sheet name="Sản phẩm" sheetId="2" state="visible" r:id="rId4"/>
    <sheet name="Link trưng bày" sheetId="3" state="visible" r:id="rId5"/>
    <sheet name="Hướng dẫn" sheetId="4" state="visible" r:id="rId6"/>
  </sheets>
  <definedNames>
    <definedName function="false" hidden="true" localSheetId="1" name="_xlnm._FilterDatabase" vbProcedure="false">'Sản phẩm'!$A$1:$M$30</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2" authorId="0">
      <text>
        <r>
          <rPr>
            <sz val="10"/>
            <rFont val="Arial"/>
            <family val="2"/>
          </rPr>
          <t xml:space="preserve">Nguồn: form đăng ký của brand (Chi cung cấp). Đối chiếu với sheet hoa hồng của nhóm trưởng.</t>
        </r>
      </text>
    </comment>
  </commentList>
</comments>
</file>

<file path=xl/sharedStrings.xml><?xml version="1.0" encoding="utf-8"?>
<sst xmlns="http://schemas.openxmlformats.org/spreadsheetml/2006/main" count="402" uniqueCount="323">
  <si>
    <t xml:space="preserve">Mã CD</t>
  </si>
  <si>
    <t xml:space="preserve">Tên chiến dịch</t>
  </si>
  <si>
    <t xml:space="preserve">Nhãn hàng</t>
  </si>
  <si>
    <t xml:space="preserve">Ngành hàng</t>
  </si>
  <si>
    <t xml:space="preserve">Hoa hồng ưu đãi</t>
  </si>
  <si>
    <t xml:space="preserve">Hoa hồng thường</t>
  </si>
  <si>
    <t xml:space="preserve">Chênh lệch HH</t>
  </si>
  <si>
    <t xml:space="preserve">Yêu cầu follower</t>
  </si>
  <si>
    <t xml:space="preserve">Số lượng mẫu</t>
  </si>
  <si>
    <t xml:space="preserve">Số SKU được chọn</t>
  </si>
  <si>
    <t xml:space="preserve">Hình thức</t>
  </si>
  <si>
    <t xml:space="preserve">Số video tối thiểu</t>
  </si>
  <si>
    <t xml:space="preserve">Hạn lên đủ video</t>
  </si>
  <si>
    <t xml:space="preserve">Yêu cầu nội dung</t>
  </si>
  <si>
    <t xml:space="preserve">Nền tảng đăng</t>
  </si>
  <si>
    <t xml:space="preserve">Điều kiện duyệt</t>
  </si>
  <si>
    <t xml:space="preserve">Form đăng ký</t>
  </si>
  <si>
    <t xml:space="preserve">Nhóm Zalo</t>
  </si>
  <si>
    <t xml:space="preserve">Sheet thêm SP trưng bày</t>
  </si>
  <si>
    <t xml:space="preserve">Trạng thái</t>
  </si>
  <si>
    <t xml:space="preserve">Ghi chú</t>
  </si>
  <si>
    <t xml:space="preserve">CM</t>
  </si>
  <si>
    <t xml:space="preserve">Cỏ Mềm – Sample 20/10</t>
  </si>
  <si>
    <t xml:space="preserve">Cỏ Mềm</t>
  </si>
  <si>
    <t xml:space="preserve">Làm đẹp – Mỹ phẩm thiên nhiên</t>
  </si>
  <si>
    <t xml:space="preserve">Giới hạn – brand chưa công bố</t>
  </si>
  <si>
    <t xml:space="preserve">Freecast</t>
  </si>
  <si>
    <t xml:space="preserve">10 ngày từ khi nhận SP</t>
  </si>
  <si>
    <t xml:space="preserve">Review sản phẩm, lộ mặt hoặc unbox, có lồng tiếng. KHÔNG lắc sản phẩm</t>
  </si>
  <si>
    <t xml:space="preserve">TikTok, Shopee Video hoặc Reels Facebook – gắn đúng link MCN cung cấp</t>
  </si>
  <si>
    <t xml:space="preserve">Thêm SP của brand vào trang trưng bày (showcase); ưu tiên duyệt KOC đã thêm</t>
  </si>
  <si>
    <t xml:space="preserve">https://forms.gle/d8N1RGBsFjyHwkMV8</t>
  </si>
  <si>
    <t xml:space="preserve">https://zalo.me/g/eoq0vrp0q4ktnim57utc</t>
  </si>
  <si>
    <t xml:space="preserve">https://docs.google.com/spreadsheets/d/1_kH65bzwYY3aEXf1bmdmvAx9taZEo5ZQ4V6e1Et6NEY/edit?usp=sharing</t>
  </si>
  <si>
    <t xml:space="preserve">Đang mở</t>
  </si>
  <si>
    <t xml:space="preserve">Toàn bộ SP là set quà 20/10. Tối thiểu 2 video cho MỖI sản phẩm nhận.</t>
  </si>
  <si>
    <t xml:space="preserve">BL</t>
  </si>
  <si>
    <t xml:space="preserve">TOPTOTOES x BIELENDA – Sample tháng 10</t>
  </si>
  <si>
    <t xml:space="preserve">TOPTOTOES x BIELENDA</t>
  </si>
  <si>
    <t xml:space="preserve">Làm đẹp – Chăm sóc da</t>
  </si>
  <si>
    <t xml:space="preserve">https://forms.gle/p1DWbmxjk2DLk4oa7</t>
  </si>
  <si>
    <t xml:space="preserve">https://zalo.me/g/nmlvkzudkdtttsvfbczm</t>
  </si>
  <si>
    <t xml:space="preserve">https://docs.google.com/spreadsheets/d/1NYf_m03C0SM9o0krdztMyuZQDXom-a68hx6cb4Dfquw/edit?usp=sharing</t>
  </si>
  <si>
    <t xml:space="preserve">Form có 11 SP, bài đăng nhóm chỉ liệt kê 10 (thiếu Toner Compliment). Bielenda là thương hiệu Ba Lan; vai trò của TOPTOTOES (phân phối/đồng hành) cần xác nhận với brand.</t>
  </si>
  <si>
    <t xml:space="preserve">LY</t>
  </si>
  <si>
    <t xml:space="preserve">REDUBEAUTY x LYSMILEGO – Sample tháng 10</t>
  </si>
  <si>
    <t xml:space="preserve">REDUBEAUTY x LYSMILEGO</t>
  </si>
  <si>
    <t xml:space="preserve">Chăm sóc cá nhân – Răng miệng</t>
  </si>
  <si>
    <t xml:space="preserve">Không nêu trong form</t>
  </si>
  <si>
    <t xml:space="preserve">https://docs.google.com/forms/d/e/1FAIpQLSfk6gsMW2L4O_YuM7IG4Cih5CBfOf6sF3VDgr8Cr2ibqF1Z6A/viewform</t>
  </si>
  <si>
    <t xml:space="preserve">https://docs.google.com/spreadsheets/d/1cteCPOGut3X0s_IZUP1ZJMUYTPKbmAuffisuTLRcQlA/edit?usp=sharing</t>
  </si>
  <si>
    <t xml:space="preserve">Form không yêu cầu số follower tối thiểu. Link nhóm Zalo trùng với nhóm của Cỏ Mềm – nên hỏi lại brand.</t>
  </si>
  <si>
    <t xml:space="preserve">HS</t>
  </si>
  <si>
    <t xml:space="preserve">HappySkin Vietnam – (cần bổ sung)</t>
  </si>
  <si>
    <t xml:space="preserve">HappySkin Vietnam</t>
  </si>
  <si>
    <t xml:space="preserve">Cần bổ sung</t>
  </si>
  <si>
    <t xml:space="preserve">Chưa có thông tin campaign – cần form/bài đăng của brand.</t>
  </si>
  <si>
    <t xml:space="preserve">Mã SP</t>
  </si>
  <si>
    <t xml:space="preserve">Danh mục SP</t>
  </si>
  <si>
    <t xml:space="preserve">Tên sản phẩm (theo form)</t>
  </si>
  <si>
    <t xml:space="preserve">Tên hiển thị trên web</t>
  </si>
  <si>
    <t xml:space="preserve">Hoa hồng</t>
  </si>
  <si>
    <t xml:space="preserve">Ảnh sản phẩm (URL)</t>
  </si>
  <si>
    <t xml:space="preserve">Mô tả ngắn (thẻ SP)</t>
  </si>
  <si>
    <t xml:space="preserve">Mô tả chi tiết (trang SP)</t>
  </si>
  <si>
    <t xml:space="preserve">Gợi ý góc review cho KOC</t>
  </si>
  <si>
    <t xml:space="preserve">Tags</t>
  </si>
  <si>
    <t xml:space="preserve">CM01</t>
  </si>
  <si>
    <t xml:space="preserve">Chăm sóc cơ thể</t>
  </si>
  <si>
    <t xml:space="preserve">[SET QUÀ TẶNG 20/10] Combo Sữa Dưỡng Thể Và Kem Dưỡng Da Tay Cỏ mềm Homelab 500g Cỏ Mềm - Quà tặng Người Yêu, Mẹ, Vợ, Cô Giáo ý nghĩa</t>
  </si>
  <si>
    <t xml:space="preserve">Set quà 20/10: Sữa dưỡng thể Homelab 500g + Kem dưỡng da tay</t>
  </si>
  <si>
    <t xml:space="preserve">Bộ đôi dưỡng ẩm toàn thân và đôi tay, đóng hộp quà sẵn cho 20/10.</t>
  </si>
  <si>
    <t xml:space="preserve">Set gồm sữa dưỡng thể dòng Homelab dung tích 500g và kem dưỡng da tay của Cỏ Mềm, thương hiệu mỹ phẩm theo định hướng thành phần thiên nhiên. Sữa dưỡng thể giúp bổ sung độ ẩm cho da toàn thân, kem tay giúp đôi tay mềm mại, hạn chế khô ráp khi trời chuyển hanh. Đóng hộp quà sẵn, phù hợp tặng mẹ, vợ, người yêu hay cô giáo.</t>
  </si>
  <si>
    <t xml:space="preserve">Unbox hộp quà, test chất kem trên mu bàn tay; nhấn vào ý 'quà thiết thực mùa hanh khô', dung tích 500g dùng lâu.</t>
  </si>
  <si>
    <t xml:space="preserve">20/10, quà tặng, dưỡng thể, dưỡng tay</t>
  </si>
  <si>
    <t xml:space="preserve">CM02</t>
  </si>
  <si>
    <t xml:space="preserve">Trang điểm</t>
  </si>
  <si>
    <t xml:space="preserve">[SET QUÀ TẶNG 20/10] Combo Trang Điểm Tự Nhiên Son Lụa Diễm Mềm Mịn Và Cushion Phấn Nước Thuỷ Tinh Cỏ Mềm - Hộp quà tặng Mẹ, Vợ, Người Yêu, Cô Giáo Ý Nghĩa, Thiết Thực</t>
  </si>
  <si>
    <t xml:space="preserve">Set quà 20/10: Son Lụa Diễm + Cushion Thủy Tinh</t>
  </si>
  <si>
    <t xml:space="preserve">Combo trang điểm tự nhiên gồm son lụa và cushion, đủ cho một lớp makeup nhẹ nhàng.</t>
  </si>
  <si>
    <t xml:space="preserve">Set trang điểm gồm son Lụa Diễm chất mềm mịn và cushion phấn nước Thủy Tinh của Cỏ Mềm, hướng tới lớp nền mỏng nhẹ và đôi môi có sắc tự nhiên. Phù hợp với người thích makeup đơn giản đi học, đi làm hằng ngày. Đóng hộp quà, tiện làm quà 20/10.</t>
  </si>
  <si>
    <t xml:space="preserve">Video makeup nhanh 1 phút trước gương: dặm cushion, tô son, quay cận độ che phủ và màu son dưới ánh sáng tự nhiên.</t>
  </si>
  <si>
    <t xml:space="preserve">20/10, quà tặng, trang điểm, son, cushion</t>
  </si>
  <si>
    <t xml:space="preserve">CM03</t>
  </si>
  <si>
    <t xml:space="preserve">Chăm sóc da mặt</t>
  </si>
  <si>
    <t xml:space="preserve">[SET QUÀ TẶNG 20/10] Combo Serum Kem Dưỡng Tơ Tằm Cỏ Mềm - Hộp Quà Tặng Người Yêu, Vợ, Mẹ, Cô Giáo Ý Nghĩa</t>
  </si>
  <si>
    <t xml:space="preserve">Set quà 20/10: Serum + Kem dưỡng Tơ Tằm</t>
  </si>
  <si>
    <t xml:space="preserve">Bộ đôi dưỡng da dòng Tơ Tằm: serum và kem dưỡng cho quy trình skincare cơ bản.</t>
  </si>
  <si>
    <t xml:space="preserve">Combo gồm serum và kem dưỡng thuộc dòng Tơ Tằm của Cỏ Mềm, dùng nối tiếp trong bước dưỡng để giúp da mềm mượt và đủ ẩm. Phù hợp làm quà cho người đã có thói quen skincare hoặc muốn bắt đầu một quy trình đơn giản.</t>
  </si>
  <si>
    <t xml:space="preserve">Quay texture serum và kem trên tay, chia sẻ cảm nhận sau vài ngày dùng; gợi ý thứ tự dùng serum trước, kem sau.</t>
  </si>
  <si>
    <t xml:space="preserve">20/10, quà tặng, skincare, serum, kem dưỡng</t>
  </si>
  <si>
    <t xml:space="preserve">CM04</t>
  </si>
  <si>
    <t xml:space="preserve">Chăm sóc môi</t>
  </si>
  <si>
    <t xml:space="preserve">[SET QUÀ TẶNG 20/10] Bộ Đôi Môi Xinh Dưỡng Ẩm Trang Điểm Môi Gồm Son Thiên Nhiên Son Dưỡng Cỏ Mềm - Hộp quà tặng Mẹ, Vợ, Người Yêu, Cô Giáo Ý Nghĩa, Thiết Thực</t>
  </si>
  <si>
    <t xml:space="preserve">Set quà 20/10: Bộ Đôi Môi Xinh (Son thiên nhiên + Son dưỡng)</t>
  </si>
  <si>
    <t xml:space="preserve">Son màu và son dưỡng đi cùng nhau: dưỡng trước, tô màu sau.</t>
  </si>
  <si>
    <t xml:space="preserve">Bộ đôi gồm một thỏi son màu và một thỏi son dưỡng của Cỏ Mềm, định hướng thành phần thiên nhiên. Son dưỡng giúp môi đủ ẩm trước khi tô màu, son màu cho đôi môi tươi tắn nhẹ nhàng. Giá vừa phải, dễ làm quà số lượng nhiều (cô giáo, đồng nghiệp).</t>
  </si>
  <si>
    <t xml:space="preserve">Swatch màu son trên môi, so môi trước – sau khi dưỡng; góc 'quà 20/10 vừa túi tiền'.</t>
  </si>
  <si>
    <t xml:space="preserve">20/10, quà tặng, son, son dưỡng</t>
  </si>
  <si>
    <t xml:space="preserve">CM05</t>
  </si>
  <si>
    <t xml:space="preserve">[SET QUÀ TẶNG 20/10] Bộ Combo Gồm Kem Dưỡng Da Tay Và Bọt Rửa Mặt Cỏ mềm - Hộp quà tặng Mẹ, Vợ, Người Yêu, Cô Giáo Ý Nghĩa, Thiết Thực</t>
  </si>
  <si>
    <t xml:space="preserve">Set quà 20/10: Kem dưỡng da tay + Bọt rửa mặt</t>
  </si>
  <si>
    <t xml:space="preserve">Combo làm sạch da mặt và dưỡng tay, hai món dùng mỗi ngày.</t>
  </si>
  <si>
    <t xml:space="preserve">Set gồm bọt rửa mặt và kem dưỡng da tay Cỏ Mềm. Bọt rửa mặt dạng tạo bọt sẵn, tiện dùng sáng và tối; kem tay giúp đôi tay mềm mại hơn. Đây là những món dùng hằng ngày nên rất 'thiết thực' khi làm quà.</t>
  </si>
  <si>
    <t xml:space="preserve">Quay độ bọt khi bấm vòi, cảm giác da sau rửa; kết hợp cảnh thoa kem tay lúc làm việc.</t>
  </si>
  <si>
    <t xml:space="preserve">20/10, quà tặng, rửa mặt, dưỡng tay</t>
  </si>
  <si>
    <t xml:space="preserve">CM06</t>
  </si>
  <si>
    <t xml:space="preserve">Chăm sóc tóc</t>
  </si>
  <si>
    <t xml:space="preserve">[SET QUÀ TẶNG 20/10] Bộ Gội Xả Giúp Ngăn Ngừa Rụng Tóc Phục Hồi Tóc Hư Tổn Cỏ Mềm-Quà Tặng Bạn Gái Mẹ Cô Giáo Ý Nghĩa</t>
  </si>
  <si>
    <t xml:space="preserve">Set quà 20/10: Bộ gội xả hỗ trợ giảm rụng &amp; phục hồi tóc</t>
  </si>
  <si>
    <t xml:space="preserve">Bộ gội xả dành cho tóc hư tổn, hỗ trợ hạn chế gãy rụng.</t>
  </si>
  <si>
    <t xml:space="preserve">Bộ dầu gội và dầu xả của Cỏ Mềm hướng tới mái tóc hư tổn, khô xơ, giúp làm sạch nhẹ nhàng và nuôi dưỡng tóc mềm mượt hơn, hỗ trợ hạn chế tình trạng gãy rụng khi chải gội. Phù hợp với người hay nhuộm, uốn, sấy.</t>
  </si>
  <si>
    <t xml:space="preserve">Quay mùi hương, độ bọt, cảm giác tóc sau khi xả và sấy khô; tránh cam kết 'hết rụng tóc' trong video.</t>
  </si>
  <si>
    <t xml:space="preserve">20/10, quà tặng, dầu gội, dầu xả, tóc hư tổn</t>
  </si>
  <si>
    <t xml:space="preserve">CM07</t>
  </si>
  <si>
    <t xml:space="preserve">[SET QUÀ TẶNG 20/10] Bộ Sữa Tắm Sữa Dưỡng Thể Sáng Da Ngừa Lão Hoá Toàn Thân Cỏ Mềm - Hộp quà tặng Mẹ, Vợ, Người Yêu, Cô Giáo Ý Nghĩa, Thiết Thực</t>
  </si>
  <si>
    <t xml:space="preserve">Set quà 20/10: Sữa tắm + Sữa dưỡng thể sáng da</t>
  </si>
  <si>
    <t xml:space="preserve">Bộ chăm sóc da toàn thân: tắm sạch và dưỡng sáng, hỗ trợ chống lão hóa.</t>
  </si>
  <si>
    <t xml:space="preserve">Set gồm sữa tắm và sữa dưỡng thể Cỏ Mềm, dùng nối tiếp trong quy trình chăm sóc cơ thể. Sữa tắm làm sạch dịu nhẹ, sữa dưỡng thể giúp da mềm mịn, hỗ trợ da trông sáng khỏe và hạn chế dấu hiệu lão hóa khi dùng đều đặn.</t>
  </si>
  <si>
    <t xml:space="preserve">Routine tắm tối: quay texture, mùi hương, cảm giác da sau dưỡng; nói rõ hiệu quả cần dùng đều.</t>
  </si>
  <si>
    <t xml:space="preserve">20/10, quà tặng, sữa tắm, dưỡng thể</t>
  </si>
  <si>
    <t xml:space="preserve">CM08</t>
  </si>
  <si>
    <t xml:space="preserve">[SET QUÀ TẶNG 20/10] Combo Làm Sạch Dưỡng Da Bọt Rửa Mặt Và Mặt Nạ Dưỡng Da Chiết Xuất Thiên Nhiên Cỏ Mềm - Hộp quà tặng Mẹ, Vợ, Người Yêu, Cô Giáo Ý Nghĩa, Thiết Thực</t>
  </si>
  <si>
    <t xml:space="preserve">Set quà 20/10: Bọt rửa mặt + Mặt nạ chiết xuất thiên nhiên</t>
  </si>
  <si>
    <t xml:space="preserve">Combo làm sạch và đắp mặt nạ dưỡng da, chiết xuất thiên nhiên.</t>
  </si>
  <si>
    <t xml:space="preserve">Set gồm bọt rửa mặt và mặt nạ dưỡng da Cỏ Mềm. Rửa mặt sạch trước, sau đó đắp mặt nạ để bổ sung độ ẩm, giúp da dịu và mềm hơn sau một ngày dài. Phù hợp làm quà 'chăm sóc bản thân' cho người bận rộn.</t>
  </si>
  <si>
    <t xml:space="preserve">Video 'tối thư giãn': rửa mặt, đắp mặt nạ, quay da trước – sau 15 phút.</t>
  </si>
  <si>
    <t xml:space="preserve">20/10, quà tặng, rửa mặt, mặt nạ</t>
  </si>
  <si>
    <t xml:space="preserve">CM09</t>
  </si>
  <si>
    <t xml:space="preserve">[SET QUÀ TẶNG 20/10] Combo Sữa Rửa Mặt Tạo Bọt Và Son Dưỡng Môi Thiên Nhiên Giảm Thâm Nẻ Cỏ Mềm - Hộp quà tặng Mẹ, Vợ, Người Yêu, Cô Giáo Ý Nghĩa, Thiết Thực</t>
  </si>
  <si>
    <t xml:space="preserve">Set quà 20/10: Sữa rửa mặt tạo bọt + Son dưỡng môi</t>
  </si>
  <si>
    <t xml:space="preserve">Combo làm sạch da mặt và dưỡng môi, hỗ trợ cải thiện môi khô nẻ.</t>
  </si>
  <si>
    <t xml:space="preserve">Set gồm sữa rửa mặt tạo bọt và son dưỡng môi thiên nhiên Cỏ Mềm. Sữa rửa mặt làm sạch nhẹ nhàng, son dưỡng giúp môi đủ ẩm, hỗ trợ giảm khô nẻ và thâm môi khi dùng thường xuyên. Hai món nhỏ gọn, dùng hằng ngày.</t>
  </si>
  <si>
    <t xml:space="preserve">Cận cảnh môi khô trước và sau vài ngày dùng son dưỡng; test bọt rửa mặt.</t>
  </si>
  <si>
    <t xml:space="preserve">20/10, quà tặng, rửa mặt, son dưỡng</t>
  </si>
  <si>
    <t xml:space="preserve">CM10</t>
  </si>
  <si>
    <t xml:space="preserve">Chăm sóc tóc &amp; cơ thể</t>
  </si>
  <si>
    <t xml:space="preserve">[SET QUÀ TẶNG 20/10] Combo Dầu Gội Và Sữa Tắm Dưỡng Ẩm Sáng Da Ngừa Lão Hoá Da Từ Thiên Nhiên Cỏ Mềm - Quà tặng Mẹ, Vợ, Người Yêu, Cô Giáo Ý Nghĩa, Thiết Thực</t>
  </si>
  <si>
    <t xml:space="preserve">Set quà 20/10: Dầu gội + Sữa tắm dưỡng ẩm</t>
  </si>
  <si>
    <t xml:space="preserve">Bộ đôi cho phòng tắm: dầu gội và sữa tắm dưỡng ẩm từ thiên nhiên.</t>
  </si>
  <si>
    <t xml:space="preserve">Combo gồm dầu gội và sữa tắm Cỏ Mềm, giúp làm sạch tóc và cơ thể, đồng thời bổ sung độ ẩm để da mềm mịn, trông sáng khỏe hơn. Món quà dùng hằng ngày, hợp tặng mẹ hoặc cả gia đình.</t>
  </si>
  <si>
    <t xml:space="preserve">Góc 'quà tặng mẹ': unbox, quay mùi hương, độ bọt; nhấn vào yếu tố dùng được cho cả nhà.</t>
  </si>
  <si>
    <t xml:space="preserve">20/10, quà tặng, dầu gội, sữa tắm</t>
  </si>
  <si>
    <t xml:space="preserve">CM11</t>
  </si>
  <si>
    <t xml:space="preserve">Chăm sóc môi &amp; tay</t>
  </si>
  <si>
    <t xml:space="preserve">[SET QUÀ TẶNG 20/10] Combo Son Dưỡng Thiên Nhiên Và Kem Dưỡng Da Tay Dưỡng Ẩm Mềm Mịn Cỏ Mềm - Quà Tặng 20/10 Ý Nghĩa, Thiết Thực</t>
  </si>
  <si>
    <t xml:space="preserve">Set quà 20/10: Son dưỡng + Kem dưỡng da tay</t>
  </si>
  <si>
    <t xml:space="preserve">Hai món nhỏ gọn để trong túi: son dưỡng và kem tay dưỡng ẩm.</t>
  </si>
  <si>
    <t xml:space="preserve">Combo son dưỡng thiên nhiên và kem dưỡng da tay Cỏ Mềm, giúp môi và tay luôn đủ ẩm, mềm mịn trong mùa hanh khô. Kích thước nhỏ gọn, mang theo đi học, đi làm. Mức giá dễ chịu, hợp mua tặng nhiều người.</t>
  </si>
  <si>
    <t xml:space="preserve">Video 'trong túi mình có gì mùa thu', dùng son và kem tay giữa ngày.</t>
  </si>
  <si>
    <t xml:space="preserve">20/10, quà tặng, son dưỡng, dưỡng tay</t>
  </si>
  <si>
    <t xml:space="preserve">CM12</t>
  </si>
  <si>
    <t xml:space="preserve">Chăm sóc môi &amp; da mặt</t>
  </si>
  <si>
    <t xml:space="preserve">[SET QUÀ TẶNG 20/10] Combo Son Dưỡng Và Hộp 5 Mặt Nạ Chăm Sóc Da Cỏ Mềm - Hộp quà tặng Mẹ, Vợ, Người Yêu, Cô Giáo Ý Nghĩa, Thiết Thực</t>
  </si>
  <si>
    <t xml:space="preserve">Set quà 20/10: Son dưỡng + Hộp 5 mặt nạ</t>
  </si>
  <si>
    <t xml:space="preserve">Son dưỡng môi kèm hộp 5 mặt nạ dưỡng da cho cả tuần.</t>
  </si>
  <si>
    <t xml:space="preserve">Set gồm một thỏi son dưỡng và hộp 5 miếng mặt nạ dưỡng da Cỏ Mềm. Mặt nạ giúp bổ sung ẩm, làm dịu da sau ngày dài; son dưỡng giữ môi mềm. Phù hợp tặng người muốn có 'góc chăm sóc bản thân' đơn giản.</t>
  </si>
  <si>
    <t xml:space="preserve">Vlog 5 ngày đắp mặt nạ, quay da trước – sau; kết thúc bằng son dưỡng.</t>
  </si>
  <si>
    <t xml:space="preserve">20/10, quà tặng, mặt nạ, son dưỡng</t>
  </si>
  <si>
    <t xml:space="preserve">CM13</t>
  </si>
  <si>
    <t xml:space="preserve">[SET QUÀ TẶNG 20/10] Combo Sữa Tắm Và Kem Dưỡng Da Tay Cỏ Mềm - Quà Tặng Bạn Gái, Mẹ, Vợ, Cô Giáo Ý Nghĩa</t>
  </si>
  <si>
    <t xml:space="preserve">Set quà 20/10: Sữa tắm + Kem dưỡng da tay</t>
  </si>
  <si>
    <t xml:space="preserve">Sữa tắm và kem tay: bộ chăm sóc cơ bản, dùng mỗi ngày.</t>
  </si>
  <si>
    <t xml:space="preserve">Combo gồm sữa tắm và kem dưỡng da tay Cỏ Mềm. Sữa tắm làm sạch dịu nhẹ, kem tay giúp đôi tay mềm mại, giảm khô ráp. Món quà thiết thực cho bạn gái, mẹ hoặc cô giáo.</t>
  </si>
  <si>
    <t xml:space="preserve">Góc 'quà cho bạn gái dưới 200k' (kiểm tra giá thực tế trước khi nói), unbox và test sản phẩm.</t>
  </si>
  <si>
    <t xml:space="preserve">20/10, quà tặng, sữa tắm, dưỡng tay</t>
  </si>
  <si>
    <t xml:space="preserve">CM14</t>
  </si>
  <si>
    <t xml:space="preserve">Chăm sóc tay &amp; da mặt</t>
  </si>
  <si>
    <t xml:space="preserve">[SET QUÀ TẶNG 20/10] Combo Kem Dưỡng Da Tay Và Hộp 5 Miếng Mặt Nạ Thạch Dừa Làm Đẹp Da Cỏ Mềm - - Hộp quà tặng Mẹ, Vợ, Người Yêu, Cô Giáo Ý Nghĩa, Thiết Thực</t>
  </si>
  <si>
    <t xml:space="preserve">Set quà 20/10: Kem dưỡng da tay + Hộp 5 mặt nạ thạch dừa</t>
  </si>
  <si>
    <t xml:space="preserve">Kem tay kèm 5 miếng mặt nạ thạch dừa mát lạnh, ôm sát da.</t>
  </si>
  <si>
    <t xml:space="preserve">Set gồm kem dưỡng da tay và hộp 5 miếng mặt nạ dạng thạch dừa của Cỏ Mềm. Mặt nạ thạch dừa có chất liệu ôm sát mặt, giúp cấp ẩm và làm dịu da; kem tay giúp tay mềm mịn. Món quà nhỏ nhưng có trải nghiệm thú vị.</t>
  </si>
  <si>
    <t xml:space="preserve">Quay cận chất liệu thạch dừa khi bóc mặt nạ (điểm khác biệt), cảm giác da sau khi gỡ.</t>
  </si>
  <si>
    <t xml:space="preserve">20/10, quà tặng, mặt nạ thạch dừa, dưỡng tay</t>
  </si>
  <si>
    <t xml:space="preserve">CM15</t>
  </si>
  <si>
    <t xml:space="preserve">Set quà cao cấp</t>
  </si>
  <si>
    <t xml:space="preserve">[HỘP QUÀ TẶNG 20/10 CAO CẤP] Phiên Bản Đặc Biệt Cỏ Mềm - Set Quà Thanh Xuân - Quà Tặng 8/3 Ngừa Lão Hoá Da Cho Mẹ, Vợ, Cô Giáo Ý Nghĩa</t>
  </si>
  <si>
    <t xml:space="preserve">Hộp quà cao cấp 20/10 – Set Quà Thanh Xuân</t>
  </si>
  <si>
    <t xml:space="preserve">Phiên bản hộp quà cao cấp, tập trung chăm sóc và hỗ trợ ngừa lão hóa da.</t>
  </si>
  <si>
    <t xml:space="preserve">Set Quà Thanh Xuân là phiên bản đặc biệt của Cỏ Mềm, đóng hộp cao cấp với các sản phẩm chăm sóc da hướng tới hỗ trợ hạn chế dấu hiệu lão hóa. Phù hợp làm quà trang trọng cho mẹ, vợ hoặc cô giáo. (Cần xác nhận thành phần trong hộp với brand.)</t>
  </si>
  <si>
    <t xml:space="preserve">Unbox sang trọng, giới thiệu từng món trong hộp; góc 'quà 20/10 cho mẹ'.</t>
  </si>
  <si>
    <t xml:space="preserve">20/10, quà tặng cao cấp, chống lão hóa</t>
  </si>
  <si>
    <t xml:space="preserve">BL01</t>
  </si>
  <si>
    <t xml:space="preserve">Toner</t>
  </si>
  <si>
    <t xml:space="preserve">Toner Bielenda Super Power Mezo Tonic Skin Clinic Correcting/ Moisturizing 200ml</t>
  </si>
  <si>
    <t xml:space="preserve">Toner Bielenda Super Power Mezo 200ml (Correcting / Moisturizing)</t>
  </si>
  <si>
    <t xml:space="preserve">Toner dòng Super Power Mezo, có bản Correcting (đều màu da) và Moisturizing (cấp ẩm).</t>
  </si>
  <si>
    <t xml:space="preserve">Toner thuộc dòng Super Power Mezo Skin Clinic của Bielenda (Ba Lan), dung tích 200ml. Phiên bản Correcting hướng tới hỗ trợ da đều màu, mờ thâm; phiên bản Moisturizing tập trung cấp ẩm cho da khô, mất nước. Dùng sau bước làm sạch để cân bằng da và chuẩn bị cho các bước dưỡng tiếp theo. (Xác nhận phiên bản gửi mẫu với brand.)</t>
  </si>
  <si>
    <t xml:space="preserve">Nói rõ mình nhận bản nào và vì sao hợp da mình; quay texture, cách vỗ bằng tay hoặc bông.</t>
  </si>
  <si>
    <t xml:space="preserve">toner, Bielenda, Super Power Mezo, cấp ẩm, mờ thâm</t>
  </si>
  <si>
    <t xml:space="preserve">BL02</t>
  </si>
  <si>
    <t xml:space="preserve">Toner Bielenda Dr Medica Anti-acne Dermatological Toning Liquid 250ml</t>
  </si>
  <si>
    <t xml:space="preserve">Toner Bielenda Dr Medica Anti-acne 250ml</t>
  </si>
  <si>
    <t xml:space="preserve">Toner dòng Dr Medica dành cho da dầu, da dễ nổi mụn.</t>
  </si>
  <si>
    <t xml:space="preserve">Toner thuộc dòng Dr Medica Anti-acne của Bielenda, dung tích 250ml, dành cho làn da dầu và dễ nổi mụn. Giúp làm sạch sâu sau bước rửa mặt, hỗ trợ kiểm soát dầu và giữ lỗ chân lông thông thoáng. Phù hợp đưa vào routine hằng ngày của da mụn.</t>
  </si>
  <si>
    <t xml:space="preserve">Phù hợp KOC có da dầu/mụn: chia sẻ tình trạng da thật, cập nhật sau 7–10 ngày; tránh cam kết 'trị mụn'.</t>
  </si>
  <si>
    <t xml:space="preserve">toner, da mụn, da dầu, Bielenda, Dr Medica</t>
  </si>
  <si>
    <t xml:space="preserve">BL03</t>
  </si>
  <si>
    <t xml:space="preserve">Kem dưỡng</t>
  </si>
  <si>
    <t xml:space="preserve">Kem dưỡng ẩm Niacinamide Bielenda Dr. Medica Antiacne Dermatological</t>
  </si>
  <si>
    <t xml:space="preserve">Kem dưỡng ẩm Niacinamide Bielenda Dr Medica Anti-acne</t>
  </si>
  <si>
    <t xml:space="preserve">Kem dưỡng chứa Niacinamide cho da mụn, cấp ẩm mà không gây nặng mặt.</t>
  </si>
  <si>
    <t xml:space="preserve">Kem dưỡng ẩm dòng Dr Medica Anti-acne của Bielenda với Niacinamide, dành cho da dầu mụn. Giúp cấp ẩm cần thiết cho da, hỗ trợ điều tiết dầu và làm dịu vùng da đang có mụn. Có thể dùng cùng toner Dr Medica Anti-acne để tạo bộ đôi chăm sóc da mụn.</t>
  </si>
  <si>
    <t xml:space="preserve">Ghép với toner BL02 thành routine da mụn; quay độ thấm, mức độ bóng dầu sau vài giờ.</t>
  </si>
  <si>
    <t xml:space="preserve">kem dưỡng, niacinamide, da mụn, Bielenda</t>
  </si>
  <si>
    <t xml:space="preserve">BL04</t>
  </si>
  <si>
    <t xml:space="preserve">Toner Bielenda Good Skin 200ml</t>
  </si>
  <si>
    <t xml:space="preserve">Toner dòng Good Skin giúp cân bằng và chuẩn bị da cho bước dưỡng.</t>
  </si>
  <si>
    <t xml:space="preserve">Toner thuộc dòng Good Skin của Bielenda, dung tích 200ml. Dùng sau bước làm sạch để cân bằng da, làm sạch lại cặn bẩn còn sót và giúp các bước dưỡng sau thẩm thấu tốt hơn. Phù hợp cho routine skincare cơ bản hằng ngày. (Xác nhận phiên bản/thành phần chính với brand.)</t>
  </si>
  <si>
    <t xml:space="preserve">Video routine sáng đơn giản 3 bước có toner; quay texture và cảm giác da sau khi vỗ.</t>
  </si>
  <si>
    <t xml:space="preserve">toner, Bielenda, Good Skin</t>
  </si>
  <si>
    <t xml:space="preserve">BL05</t>
  </si>
  <si>
    <t xml:space="preserve">Serum</t>
  </si>
  <si>
    <t xml:space="preserve">Serum Bielenda Super Power Mezo Skin Clinic căng bóng, mờ thâm</t>
  </si>
  <si>
    <t xml:space="preserve">Serum Bielenda Super Power Mezo – căng bóng, mờ thâm</t>
  </si>
  <si>
    <t xml:space="preserve">Serum dòng Super Power Mezo giúp da căng bóng, hỗ trợ mờ thâm.</t>
  </si>
  <si>
    <t xml:space="preserve">Serum thuộc dòng Super Power Mezo Skin Clinic của Bielenda, hướng tới làn da căng bóng, đủ ẩm và hỗ trợ làm mờ vết thâm khi dùng đều đặn. Dùng sau toner, trước kem dưỡng. Có thể kết hợp toner và kem dưỡng cùng dòng để tạo bộ chăm sóc đồng bộ.</t>
  </si>
  <si>
    <t xml:space="preserve">Quay độ căng bóng của da dưới ánh sáng tự nhiên; theo dõi vết thâm sau 10 ngày (nói rõ cần dùng lâu hơn để thấy rõ).</t>
  </si>
  <si>
    <t xml:space="preserve">serum, căng bóng, mờ thâm, Bielenda, Super Power Mezo</t>
  </si>
  <si>
    <t xml:space="preserve">BL06</t>
  </si>
  <si>
    <t xml:space="preserve">Kem dưỡng Bielenda Super Power Mezo Skin Clinic Correcting sáng da, mờ thâm</t>
  </si>
  <si>
    <t xml:space="preserve">Kem dưỡng Bielenda Super Power Mezo Correcting – sáng da, mờ thâm</t>
  </si>
  <si>
    <t xml:space="preserve">Kem dưỡng dòng Super Power Mezo Correcting, hỗ trợ sáng da và mờ thâm.</t>
  </si>
  <si>
    <t xml:space="preserve">Kem dưỡng Super Power Mezo Skin Clinic phiên bản Correcting của Bielenda, giúp khóa ẩm ở bước cuối routine và hỗ trợ da sáng hơn, đều màu hơn, làm mờ thâm khi dùng thường xuyên. Phù hợp với da xỉn màu, có vết thâm sau mụn.</t>
  </si>
  <si>
    <t xml:space="preserve">Ghép với serum BL05; quay texture kem, độ thấm, da sau 1 đêm.</t>
  </si>
  <si>
    <t xml:space="preserve">kem dưỡng, sáng da, mờ thâm, Bielenda</t>
  </si>
  <si>
    <t xml:space="preserve">BL07</t>
  </si>
  <si>
    <t xml:space="preserve">Toner tẩy tế bào chết</t>
  </si>
  <si>
    <t xml:space="preserve">Toner Bielenda Good Skin - Acid Peel Micro-Exfoliating Face Toner 200ml</t>
  </si>
  <si>
    <t xml:space="preserve">Toner tẩy da chết Bielenda Good Skin Acid Peel 200ml</t>
  </si>
  <si>
    <t xml:space="preserve">Toner chứa acid giúp tẩy tế bào chết nhẹ nhàng, da mịn và thông thoáng hơn.</t>
  </si>
  <si>
    <t xml:space="preserve">Toner Good Skin Acid Peel của Bielenda, dung tích 200ml, có cơ chế tẩy tế bào chết hóa học dịu nhẹ (micro-exfoliating). Giúp loại bỏ lớp da chết, hỗ trợ bề mặt da mịn hơn và lỗ chân lông thông thoáng. Nên dùng buổi tối và luôn dùng kem chống nắng vào ban ngày. Đang có chương trình sale theo bài đăng của brand.</t>
  </si>
  <si>
    <t xml:space="preserve">Nhắc người xem test vùng nhỏ trước và dùng kem chống nắng; quay bề mặt da cận cảnh trước – sau.</t>
  </si>
  <si>
    <t xml:space="preserve">toner, tẩy tế bào chết, AHA/BHA, Bielenda, Good Skin, sale</t>
  </si>
  <si>
    <t xml:space="preserve">BL08</t>
  </si>
  <si>
    <t xml:space="preserve">Kem dưỡng đêm</t>
  </si>
  <si>
    <t xml:space="preserve">Kem dưỡng Bielenda Dr Medica OVERPIGMENTATION Brightening Night Cream STEP 2</t>
  </si>
  <si>
    <t xml:space="preserve">Kem dưỡng đêm Bielenda Dr Medica Overpigmentation – Step 2</t>
  </si>
  <si>
    <t xml:space="preserve">Kem dưỡng ban đêm hỗ trợ làm sáng và cải thiện vùng da tăng sắc tố.</t>
  </si>
  <si>
    <t xml:space="preserve">Kem dưỡng đêm thuộc dòng Dr Medica Overpigmentation của Bielenda, là bước 2 trong bộ chăm sóc da tăng sắc tố. Giúp dưỡng ẩm qua đêm, hỗ trợ làm sáng da và làm mờ các vùng da sẫm màu khi dùng kiên trì. Phù hợp với da có thâm, nám nhẹ, da không đều màu.</t>
  </si>
  <si>
    <t xml:space="preserve">Routine tối; nhấn mạnh là 'Step 2' và giải thích vị trí trong quy trình; dùng kem chống nắng ban ngày.</t>
  </si>
  <si>
    <t xml:space="preserve">kem dưỡng đêm, sáng da, tăng sắc tố, Bielenda, Dr Medica</t>
  </si>
  <si>
    <t xml:space="preserve">BL09</t>
  </si>
  <si>
    <t xml:space="preserve">Dưỡng thể</t>
  </si>
  <si>
    <t xml:space="preserve">Sữa Dưỡng Thể Trắng Da Bio Vitamin C Bielenda with Niacinamide 250ml</t>
  </si>
  <si>
    <t xml:space="preserve">Sữa dưỡng thể Bielenda Bio Vitamin C + Niacinamide 250ml</t>
  </si>
  <si>
    <t xml:space="preserve">Sữa dưỡng thể Vitamin C kết hợp Niacinamide, giúp da sáng mịn. Tặng găng tay thoa kem.</t>
  </si>
  <si>
    <t xml:space="preserve">Sữa dưỡng thể dòng Bio Vitamin C của Bielenda kết hợp Niacinamide, dung tích 250ml. Giúp dưỡng ẩm và hỗ trợ làn da cơ thể sáng mịn, đều màu hơn khi dùng thường xuyên. Theo bài đăng của brand, sản phẩm có tặng kèm găng tay thoa kem body.</t>
  </si>
  <si>
    <t xml:space="preserve">Quay texture, độ thấm trên tay/chân, mùi hương; cho thấy cách dùng găng tay thoa kem.</t>
  </si>
  <si>
    <t xml:space="preserve">dưỡng thể, vitamin C, niacinamide, Bielenda, quà tặng kèm</t>
  </si>
  <si>
    <t xml:space="preserve">BL10</t>
  </si>
  <si>
    <t xml:space="preserve">Dưỡng thể Bielenda Bio Vitamin C dưỡng ẩm làm đẹp da 400ml Tặng 1 Dưỡng thể Bielenda Bio Vitamin C dưỡng ẩm làm đẹp da 400ml</t>
  </si>
  <si>
    <t xml:space="preserve">Dưỡng thể Bielenda Bio Vitamin C 400ml (mua 1 tặng 1)</t>
  </si>
  <si>
    <t xml:space="preserve">Combo mua 1 tặng 1 dưỡng thể Vitamin C 400ml, dưỡng ẩm và làm đẹp da.</t>
  </si>
  <si>
    <t xml:space="preserve">Dưỡng thể Bio Vitamin C của Bielenda dung tích 400ml, giúp dưỡng ẩm và hỗ trợ làn da cơ thể mềm mịn, tươi sáng. Chương trình mua 1 tặng 1 (tổng 2 chai 400ml), dùng được lâu, phù hợp cả gia đình hoặc chia sẻ với bạn bè.</t>
  </si>
  <si>
    <t xml:space="preserve">Nhấn mạnh deal mua 1 tặng 1 ngay 3 giây đầu; quay 2 chai, texture và cảm giác da.</t>
  </si>
  <si>
    <t xml:space="preserve">dưỡng thể, vitamin C, mua 1 tặng 1, Bielenda</t>
  </si>
  <si>
    <t xml:space="preserve">BL11</t>
  </si>
  <si>
    <t xml:space="preserve">Toner Compliment 10% Glycolic Acid &amp; Aloe cấp nước, dưỡng ẩm</t>
  </si>
  <si>
    <t xml:space="preserve">Toner Compliment 10% Glycolic Acid &amp; Lô hội</t>
  </si>
  <si>
    <t xml:space="preserve">Toner Glycolic Acid 10% kết hợp lô hội: tẩy da chết nhẹ và cấp nước.</t>
  </si>
  <si>
    <t xml:space="preserve">Toner của thương hiệu Compliment với 10% Glycolic Acid (AHA) kết hợp chiết xuất lô hội. Glycolic Acid giúp tẩy tế bào chết, hỗ trợ da mịn và sáng hơn; lô hội giúp cấp nước, làm dịu. Nên dùng buổi tối, bắt đầu với tần suất thấp và luôn dùng kem chống nắng ban ngày. (SP chỉ có trong form, không có trong bài đăng nhóm – xác nhận lại với brand.)</t>
  </si>
  <si>
    <t xml:space="preserve">Hướng dẫn tần suất dùng cho người mới với AHA, nhắc patch test và chống nắng.</t>
  </si>
  <si>
    <t xml:space="preserve">toner, glycolic acid, AHA, lô hội, Compliment</t>
  </si>
  <si>
    <t xml:space="preserve">LY01</t>
  </si>
  <si>
    <t xml:space="preserve">Làm trắng răng</t>
  </si>
  <si>
    <t xml:space="preserve">[LYSMILEGO] Miếng dán răng không để lại dấu vết, Miếng dán hỗ trợ trắng răng</t>
  </si>
  <si>
    <t xml:space="preserve">Miếng dán hỗ trợ trắng răng LYSMILEGO (không để lại dấu vết)</t>
  </si>
  <si>
    <t xml:space="preserve">Miếng dán trắng răng mỏng, không để lại dấu vết, dùng tại nhà.</t>
  </si>
  <si>
    <t xml:space="preserve">Miếng dán hỗ trợ làm trắng răng của LYSMILEGO, thiết kế mỏng, bám sát bề mặt răng và không để lại dấu vết sau khi gỡ. Tiện dùng tại nhà, có thể vừa dán vừa làm việc khác. Hỗ trợ cải thiện màu răng ố vàng khi dùng theo liệu trình hướng dẫn.</t>
  </si>
  <si>
    <t xml:space="preserve">Quay cận răng trước – sau liệu trình dưới cùng một điều kiện ánh sáng; demo cách dán và gỡ.</t>
  </si>
  <si>
    <t xml:space="preserve">trắng răng, miếng dán, LYSMILEGO, chăm sóc răng miệng</t>
  </si>
  <si>
    <t xml:space="preserve">LY02</t>
  </si>
  <si>
    <t xml:space="preserve">[Lysmilego] Miếng dán trắng răng PAP thế hệ 2 không gây kích ứng · Dùng hằng ngày vẫn yên tâm</t>
  </si>
  <si>
    <t xml:space="preserve">Miếng dán trắng răng PAP thế hệ 2 LYSMILEGO</t>
  </si>
  <si>
    <t xml:space="preserve">Miếng dán trắng răng dùng PAP, được brand giới thiệu là dịu nhẹ, dùng hằng ngày.</t>
  </si>
  <si>
    <t xml:space="preserve">Miếng dán trắng răng thế hệ 2 của LYSMILEGO sử dụng PAP – hoạt chất làm trắng không chứa peroxide, được brand giới thiệu là dịu nhẹ, hạn chế ê buốt và kích ứng nên có thể dùng hằng ngày. Phù hợp với người có răng nhạy cảm muốn cải thiện màu răng tại nhà.</t>
  </si>
  <si>
    <t xml:space="preserve">Nói về cảm giác ê buốt (có/không) sau khi dùng; so sánh màu răng bằng bảng màu hoặc ảnh cùng ánh sáng.</t>
  </si>
  <si>
    <t xml:space="preserve">trắng răng, PAP, răng nhạy cảm, LYSMILEGO</t>
  </si>
  <si>
    <t xml:space="preserve">LY03</t>
  </si>
  <si>
    <t xml:space="preserve">Kem đánh răng</t>
  </si>
  <si>
    <t xml:space="preserve">LYSMILEGO Probiotics – Kem đánh răng trắng sáng 4 lớp, bảo vệ 7 lớp</t>
  </si>
  <si>
    <t xml:space="preserve">Kem đánh răng Probiotics LYSMILEGO – trắng sáng 4 lớp, bảo vệ 7 lớp</t>
  </si>
  <si>
    <t xml:space="preserve">Kem đánh răng bổ sung lợi khuẩn, hỗ trợ trắng sáng và bảo vệ răng miệng.</t>
  </si>
  <si>
    <t xml:space="preserve">Kem đánh răng LYSMILEGO bổ sung Probiotics (lợi khuẩn), được brand giới thiệu với cơ chế trắng sáng 4 lớp và bảo vệ 7 lớp. Giúp làm sạch, hỗ trợ răng trắng sáng hơn và hơi thở thơm mát. Có thể dùng hằng ngày, kết hợp với miếng dán trắng răng cùng thương hiệu.</t>
  </si>
  <si>
    <t xml:space="preserve">Quay chất kem, độ bọt, cảm giác hơi thở; ghép với miếng dán LY01/LY02 thành routine răng trắng.</t>
  </si>
  <si>
    <t xml:space="preserve">kem đánh răng, probiotics, trắng răng, LYSMILEGO</t>
  </si>
  <si>
    <t xml:space="preserve">STT</t>
  </si>
  <si>
    <t xml:space="preserve">Link affiliate TikTok (thêm vào showcase)</t>
  </si>
  <si>
    <t xml:space="preserve">Mã SP tương ứng</t>
  </si>
  <si>
    <t xml:space="preserve">https://affiliate.tiktok.com/api/v1/share/ALYJuHiuC1p8</t>
  </si>
  <si>
    <t xml:space="preserve">https://affiliate.tiktok.com/api/v1/share/ALYJxOwOQ2kp</t>
  </si>
  <si>
    <t xml:space="preserve">https://affiliate.tiktok.com/api/v1/share/ALYJuHiuT6nb</t>
  </si>
  <si>
    <t xml:space="preserve">https://affiliate.tiktok.com/api/v1/share/ALYJxOwOhGEi</t>
  </si>
  <si>
    <t xml:space="preserve">https://affiliate.tiktok.com/api/v1/share/ALYJuHiukJ4A</t>
  </si>
  <si>
    <t xml:space="preserve">https://affiliate.tiktok.com/api/v1/share/ALXwpsra7TIr</t>
  </si>
  <si>
    <t xml:space="preserve">https://affiliate.tiktok.com/api/v1/share/ALXwpsnVxVum</t>
  </si>
  <si>
    <t xml:space="preserve">https://affiliate.tiktok.com/api/v1/share/ALXwpsraOZuZ</t>
  </si>
  <si>
    <t xml:space="preserve">https://affiliate.tiktok.com/api/v1/share/ALXwpsnWEa6E</t>
  </si>
  <si>
    <t xml:space="preserve">https://affiliate.tiktok.com/api/v1/share/ALXwpsrafYdn</t>
  </si>
  <si>
    <t xml:space="preserve">https://affiliate.tiktok.com/api/v1/share/ALXwpsnWVoxn</t>
  </si>
  <si>
    <t xml:space="preserve">https://affiliate.tiktok.com/api/v1/share/ALXwpsrawbJs</t>
  </si>
  <si>
    <t xml:space="preserve">https://affiliate.tiktok.com/api/v1/share/ALXwph9evemK</t>
  </si>
  <si>
    <t xml:space="preserve">https://affiliate.tiktok.com/api/v1/share/ALXwpsrbDfbj</t>
  </si>
  <si>
    <t xml:space="preserve">https://affiliate.tiktok.com/api/v1/share/ALXwph9fChD8</t>
  </si>
  <si>
    <t xml:space="preserve">https://affiliate.tiktok.com/api/v1/share/ALV7uEmykzkB</t>
  </si>
  <si>
    <t xml:space="preserve">https://affiliate.tiktok.com/api/v1/share/ALV7vtkhh4rJ</t>
  </si>
  <si>
    <t xml:space="preserve">https://affiliate.tiktok.com/api/v1/share/ALV7wnwCttVb</t>
  </si>
  <si>
    <t xml:space="preserve">HƯỚNG DẪN SỬ DỤNG</t>
  </si>
  <si>
    <t xml:space="preserve">Ô nền vàng</t>
  </si>
  <si>
    <t xml:space="preserve">Ô cần điền bổ sung (ảnh sản phẩm, số lượng mẫu, thông tin HappySkin, mã SP ứng với từng link).</t>
  </si>
  <si>
    <t xml:space="preserve">Chữ xanh dương</t>
  </si>
  <si>
    <t xml:space="preserve">Số liệu nhập tay lấy từ form đăng ký của brand (hoa hồng, yêu cầu follower, số video).</t>
  </si>
  <si>
    <t xml:space="preserve">Chữ xanh lá</t>
  </si>
  <si>
    <t xml:space="preserve">Công thức tự kéo từ sheet 'Chiến dịch' – sửa hoa hồng/yêu cầu FL ở sheet 'Chiến dịch', các sheet khác tự cập nhật.</t>
  </si>
  <si>
    <t xml:space="preserve">Thêm SP mới</t>
  </si>
  <si>
    <t xml:space="preserve">Thêm 1 dòng ở 'Sản phẩm', điền Mã CD (CM/BL/LY/HS) – nhãn hàng, hoa hồng, yêu cầu FL tự hiện. Cột 'Số SKU được chọn' ở 'Chiến dịch' tự đếm.</t>
  </si>
  <si>
    <t xml:space="preserve">Ví dụ cột ảnh</t>
  </si>
  <si>
    <t xml:space="preserve">Dán link ảnh trực tiếp, ví dụ: https://drive.google.com/... hoặc link ảnh từ trang Shopee/TikTok Shop của SP.</t>
  </si>
  <si>
    <t xml:space="preserve">Lưu ý mô tả</t>
  </si>
  <si>
    <t xml:space="preserve">Mô tả SP được viết dựa trên tên SP trong form. Thành phần, dung tích và công dụng cụ thể nên đối chiếu với trang SP chính thức trước khi đăng web; tránh cam kết kiểu 'trị mụn', 'hết rụng tóc'.</t>
  </si>
  <si>
    <t xml:space="preserve">Nguồn dữ liệu</t>
  </si>
  <si>
    <t xml:space="preserve">3 form đăng ký sample + 2 bài đăng nhóm Zalo (Cỏ Mềm, TOPTOTOES x BIELENDA, REDUBEAUTY x LYSMILEGO), tháng 10/2026.</t>
  </si>
</sst>
</file>

<file path=xl/styles.xml><?xml version="1.0" encoding="utf-8"?>
<styleSheet xmlns="http://schemas.openxmlformats.org/spreadsheetml/2006/main">
  <numFmts count="3">
    <numFmt numFmtId="164" formatCode="General"/>
    <numFmt numFmtId="165" formatCode="0%"/>
    <numFmt numFmtId="166" formatCode="&quot;&gt; &quot;#,##0"/>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000000"/>
      <name val="Arial"/>
      <family val="0"/>
      <charset val="1"/>
    </font>
    <font>
      <sz val="10"/>
      <color rgb="FF0000FF"/>
      <name val="Arial"/>
      <family val="0"/>
      <charset val="1"/>
    </font>
    <font>
      <sz val="10"/>
      <name val="Arial"/>
      <family val="2"/>
    </font>
    <font>
      <sz val="10"/>
      <color rgb="FF008000"/>
      <name val="Arial"/>
      <family val="0"/>
      <charset val="1"/>
    </font>
    <font>
      <b val="true"/>
      <sz val="12"/>
      <name val="Arial"/>
      <family val="0"/>
      <charset val="1"/>
    </font>
    <font>
      <sz val="10"/>
      <name val="Arial"/>
      <family val="0"/>
      <charset val="1"/>
    </font>
    <font>
      <b val="true"/>
      <sz val="10"/>
      <name val="Arial"/>
      <family val="0"/>
      <charset val="1"/>
    </font>
    <font>
      <b val="true"/>
      <sz val="10"/>
      <color rgb="FF0000FF"/>
      <name val="Arial"/>
      <family val="0"/>
      <charset val="1"/>
    </font>
    <font>
      <b val="true"/>
      <sz val="10"/>
      <color rgb="FF008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6" fontId="5"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22"/>
    <col collapsed="false" customWidth="true" hidden="false" outlineLevel="0" max="4" min="4" style="0" width="24"/>
    <col collapsed="false" customWidth="true" hidden="false" outlineLevel="0" max="7" min="5" style="0" width="11"/>
    <col collapsed="false" customWidth="true" hidden="false" outlineLevel="0" max="8" min="8" style="0" width="13"/>
    <col collapsed="false" customWidth="true" hidden="false" outlineLevel="0" max="9" min="9" style="0" width="20"/>
    <col collapsed="false" customWidth="true" hidden="false" outlineLevel="0" max="12" min="10" style="0" width="11"/>
    <col collapsed="false" customWidth="true" hidden="false" outlineLevel="0" max="13" min="13" style="0" width="16"/>
    <col collapsed="false" customWidth="true" hidden="false" outlineLevel="0" max="14" min="14" style="0" width="36"/>
    <col collapsed="false" customWidth="true" hidden="false" outlineLevel="0" max="15" min="15" style="0" width="24"/>
    <col collapsed="false" customWidth="true" hidden="false" outlineLevel="0" max="16" min="16" style="0" width="30"/>
    <col collapsed="false" customWidth="true" hidden="false" outlineLevel="0" max="19" min="17" style="0" width="34"/>
    <col collapsed="false" customWidth="true" hidden="false" outlineLevel="0" max="20" min="20" style="0" width="12"/>
    <col collapsed="false" customWidth="true" hidden="false" outlineLevel="0" max="21" min="21" style="0" width="40"/>
  </cols>
  <sheetData>
    <row r="1" customFormat="false" ht="36"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35.05" hidden="false" customHeight="false" outlineLevel="0" collapsed="false">
      <c r="A2" s="2" t="s">
        <v>21</v>
      </c>
      <c r="B2" s="2" t="s">
        <v>22</v>
      </c>
      <c r="C2" s="2" t="s">
        <v>23</v>
      </c>
      <c r="D2" s="2" t="s">
        <v>24</v>
      </c>
      <c r="E2" s="3" t="n">
        <v>0.08</v>
      </c>
      <c r="F2" s="3" t="n">
        <v>0.06</v>
      </c>
      <c r="G2" s="4" t="n">
        <f aca="false">IF(OR(E2="",F2=""),"",E2-F2)</f>
        <v>0.02</v>
      </c>
      <c r="H2" s="5" t="n">
        <v>2000</v>
      </c>
      <c r="I2" s="6" t="s">
        <v>25</v>
      </c>
      <c r="J2" s="2" t="n">
        <f aca="false">COUNTIF('Sản phẩm'!$B:$B,A2)</f>
        <v>15</v>
      </c>
      <c r="K2" s="2" t="s">
        <v>26</v>
      </c>
      <c r="L2" s="7" t="n">
        <v>2</v>
      </c>
      <c r="M2" s="2" t="s">
        <v>27</v>
      </c>
      <c r="N2" s="2" t="s">
        <v>28</v>
      </c>
      <c r="O2" s="2" t="s">
        <v>29</v>
      </c>
      <c r="P2" s="2" t="s">
        <v>30</v>
      </c>
      <c r="Q2" s="2" t="s">
        <v>31</v>
      </c>
      <c r="R2" s="2" t="s">
        <v>32</v>
      </c>
      <c r="S2" s="2" t="s">
        <v>33</v>
      </c>
      <c r="T2" s="2" t="s">
        <v>34</v>
      </c>
      <c r="U2" s="2" t="s">
        <v>35</v>
      </c>
    </row>
    <row r="3" customFormat="false" ht="46.25" hidden="false" customHeight="false" outlineLevel="0" collapsed="false">
      <c r="A3" s="2" t="s">
        <v>36</v>
      </c>
      <c r="B3" s="2" t="s">
        <v>37</v>
      </c>
      <c r="C3" s="2" t="s">
        <v>38</v>
      </c>
      <c r="D3" s="2" t="s">
        <v>39</v>
      </c>
      <c r="E3" s="3" t="n">
        <v>0.11</v>
      </c>
      <c r="F3" s="3" t="n">
        <v>0.1</v>
      </c>
      <c r="G3" s="4" t="n">
        <f aca="false">IF(OR(E3="",F3=""),"",E3-F3)</f>
        <v>0.01</v>
      </c>
      <c r="H3" s="5" t="n">
        <v>1000</v>
      </c>
      <c r="I3" s="6" t="s">
        <v>25</v>
      </c>
      <c r="J3" s="2" t="n">
        <f aca="false">COUNTIF('Sản phẩm'!$B:$B,A3)</f>
        <v>11</v>
      </c>
      <c r="K3" s="2" t="s">
        <v>26</v>
      </c>
      <c r="L3" s="7" t="n">
        <v>2</v>
      </c>
      <c r="M3" s="2" t="s">
        <v>27</v>
      </c>
      <c r="N3" s="2" t="s">
        <v>28</v>
      </c>
      <c r="O3" s="2" t="s">
        <v>29</v>
      </c>
      <c r="P3" s="2" t="s">
        <v>30</v>
      </c>
      <c r="Q3" s="2" t="s">
        <v>40</v>
      </c>
      <c r="R3" s="2" t="s">
        <v>41</v>
      </c>
      <c r="S3" s="2" t="s">
        <v>42</v>
      </c>
      <c r="T3" s="2" t="s">
        <v>34</v>
      </c>
      <c r="U3" s="2" t="s">
        <v>43</v>
      </c>
    </row>
    <row r="4" customFormat="false" ht="35.05" hidden="false" customHeight="false" outlineLevel="0" collapsed="false">
      <c r="A4" s="2" t="s">
        <v>44</v>
      </c>
      <c r="B4" s="2" t="s">
        <v>45</v>
      </c>
      <c r="C4" s="2" t="s">
        <v>46</v>
      </c>
      <c r="D4" s="2" t="s">
        <v>47</v>
      </c>
      <c r="E4" s="3" t="n">
        <v>0.12</v>
      </c>
      <c r="F4" s="3" t="n">
        <v>0.08</v>
      </c>
      <c r="G4" s="4" t="n">
        <f aca="false">IF(OR(E4="",F4=""),"",E4-F4)</f>
        <v>0.04</v>
      </c>
      <c r="H4" s="8" t="s">
        <v>48</v>
      </c>
      <c r="I4" s="6" t="s">
        <v>25</v>
      </c>
      <c r="J4" s="2" t="n">
        <f aca="false">COUNTIF('Sản phẩm'!$B:$B,A4)</f>
        <v>3</v>
      </c>
      <c r="K4" s="2" t="s">
        <v>26</v>
      </c>
      <c r="L4" s="7" t="n">
        <v>2</v>
      </c>
      <c r="M4" s="2" t="s">
        <v>27</v>
      </c>
      <c r="N4" s="2" t="s">
        <v>28</v>
      </c>
      <c r="O4" s="2" t="s">
        <v>29</v>
      </c>
      <c r="P4" s="2" t="s">
        <v>30</v>
      </c>
      <c r="Q4" s="2" t="s">
        <v>49</v>
      </c>
      <c r="R4" s="2" t="s">
        <v>32</v>
      </c>
      <c r="S4" s="2" t="s">
        <v>50</v>
      </c>
      <c r="T4" s="2" t="s">
        <v>34</v>
      </c>
      <c r="U4" s="2" t="s">
        <v>51</v>
      </c>
    </row>
    <row r="5" customFormat="false" ht="23.85" hidden="false" customHeight="false" outlineLevel="0" collapsed="false">
      <c r="A5" s="2" t="s">
        <v>52</v>
      </c>
      <c r="B5" s="2" t="s">
        <v>53</v>
      </c>
      <c r="C5" s="2" t="s">
        <v>54</v>
      </c>
      <c r="D5" s="6"/>
      <c r="E5" s="9"/>
      <c r="F5" s="9"/>
      <c r="G5" s="4" t="str">
        <f aca="false">IF(OR(E5="",F5=""),"",E5-F5)</f>
        <v/>
      </c>
      <c r="H5" s="10"/>
      <c r="I5" s="6"/>
      <c r="J5" s="2" t="n">
        <f aca="false">COUNTIF('Sản phẩm'!$B:$B,A5)</f>
        <v>0</v>
      </c>
      <c r="K5" s="6"/>
      <c r="L5" s="6"/>
      <c r="M5" s="6"/>
      <c r="N5" s="6"/>
      <c r="O5" s="6"/>
      <c r="P5" s="6"/>
      <c r="Q5" s="6"/>
      <c r="R5" s="6"/>
      <c r="S5" s="6"/>
      <c r="T5" s="2" t="s">
        <v>55</v>
      </c>
      <c r="U5" s="2"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20"/>
    <col collapsed="false" customWidth="true" hidden="false" outlineLevel="0" max="4" min="4" style="0" width="18"/>
    <col collapsed="false" customWidth="true" hidden="false" outlineLevel="0" max="5" min="5" style="0" width="45"/>
    <col collapsed="false" customWidth="true" hidden="false" outlineLevel="0" max="6" min="6" style="0" width="34"/>
    <col collapsed="false" customWidth="true" hidden="false" outlineLevel="0" max="7" min="7" style="0" width="9"/>
    <col collapsed="false" customWidth="true" hidden="false" outlineLevel="0" max="8" min="8" style="0" width="12"/>
    <col collapsed="false" customWidth="true" hidden="false" outlineLevel="0" max="9" min="9" style="0" width="26"/>
    <col collapsed="false" customWidth="true" hidden="false" outlineLevel="0" max="10" min="10" style="0" width="38"/>
    <col collapsed="false" customWidth="true" hidden="false" outlineLevel="0" max="11" min="11" style="0" width="60"/>
    <col collapsed="false" customWidth="true" hidden="false" outlineLevel="0" max="12" min="12" style="0" width="45"/>
    <col collapsed="false" customWidth="true" hidden="false" outlineLevel="0" max="13" min="13" style="0" width="26"/>
  </cols>
  <sheetData>
    <row r="1" customFormat="false" ht="36" hidden="false" customHeight="true" outlineLevel="0" collapsed="false">
      <c r="A1" s="1" t="s">
        <v>57</v>
      </c>
      <c r="B1" s="1" t="s">
        <v>0</v>
      </c>
      <c r="C1" s="1" t="s">
        <v>2</v>
      </c>
      <c r="D1" s="1" t="s">
        <v>58</v>
      </c>
      <c r="E1" s="1" t="s">
        <v>59</v>
      </c>
      <c r="F1" s="1" t="s">
        <v>60</v>
      </c>
      <c r="G1" s="1" t="s">
        <v>61</v>
      </c>
      <c r="H1" s="1" t="s">
        <v>7</v>
      </c>
      <c r="I1" s="1" t="s">
        <v>62</v>
      </c>
      <c r="J1" s="1" t="s">
        <v>63</v>
      </c>
      <c r="K1" s="1" t="s">
        <v>64</v>
      </c>
      <c r="L1" s="1" t="s">
        <v>65</v>
      </c>
      <c r="M1" s="1" t="s">
        <v>66</v>
      </c>
    </row>
    <row r="2" customFormat="false" ht="57.45" hidden="false" customHeight="false" outlineLevel="0" collapsed="false">
      <c r="A2" s="2" t="s">
        <v>67</v>
      </c>
      <c r="B2" s="2" t="s">
        <v>21</v>
      </c>
      <c r="C2" s="11" t="str">
        <f aca="false">INDEX('Chiến dịch'!$C:$C,MATCH(B2,'Chiến dịch'!$A:$A,0))</f>
        <v>Cỏ Mềm</v>
      </c>
      <c r="D2" s="2" t="s">
        <v>68</v>
      </c>
      <c r="E2" s="2" t="s">
        <v>69</v>
      </c>
      <c r="F2" s="2" t="s">
        <v>70</v>
      </c>
      <c r="G2" s="12" t="n">
        <f aca="false">INDEX('Chiến dịch'!$E:$E,MATCH(B2,'Chiến dịch'!$A:$A,0))</f>
        <v>0.08</v>
      </c>
      <c r="H2" s="13" t="n">
        <f aca="false">INDEX('Chiến dịch'!$H:$H,MATCH(B2,'Chiến dịch'!$A:$A,0))</f>
        <v>2000</v>
      </c>
      <c r="I2" s="6"/>
      <c r="J2" s="2" t="s">
        <v>71</v>
      </c>
      <c r="K2" s="2" t="s">
        <v>72</v>
      </c>
      <c r="L2" s="2" t="s">
        <v>73</v>
      </c>
      <c r="M2" s="2" t="s">
        <v>74</v>
      </c>
    </row>
    <row r="3" customFormat="false" ht="46.25" hidden="false" customHeight="false" outlineLevel="0" collapsed="false">
      <c r="A3" s="2" t="s">
        <v>75</v>
      </c>
      <c r="B3" s="2" t="s">
        <v>21</v>
      </c>
      <c r="C3" s="11" t="str">
        <f aca="false">INDEX('Chiến dịch'!$C:$C,MATCH(B3,'Chiến dịch'!$A:$A,0))</f>
        <v>Cỏ Mềm</v>
      </c>
      <c r="D3" s="2" t="s">
        <v>76</v>
      </c>
      <c r="E3" s="2" t="s">
        <v>77</v>
      </c>
      <c r="F3" s="2" t="s">
        <v>78</v>
      </c>
      <c r="G3" s="12" t="n">
        <f aca="false">INDEX('Chiến dịch'!$E:$E,MATCH(B3,'Chiến dịch'!$A:$A,0))</f>
        <v>0.08</v>
      </c>
      <c r="H3" s="13" t="n">
        <f aca="false">INDEX('Chiến dịch'!$H:$H,MATCH(B3,'Chiến dịch'!$A:$A,0))</f>
        <v>2000</v>
      </c>
      <c r="I3" s="6"/>
      <c r="J3" s="2" t="s">
        <v>79</v>
      </c>
      <c r="K3" s="2" t="s">
        <v>80</v>
      </c>
      <c r="L3" s="2" t="s">
        <v>81</v>
      </c>
      <c r="M3" s="2" t="s">
        <v>82</v>
      </c>
    </row>
    <row r="4" customFormat="false" ht="46.25" hidden="false" customHeight="false" outlineLevel="0" collapsed="false">
      <c r="A4" s="2" t="s">
        <v>83</v>
      </c>
      <c r="B4" s="2" t="s">
        <v>21</v>
      </c>
      <c r="C4" s="11" t="str">
        <f aca="false">INDEX('Chiến dịch'!$C:$C,MATCH(B4,'Chiến dịch'!$A:$A,0))</f>
        <v>Cỏ Mềm</v>
      </c>
      <c r="D4" s="2" t="s">
        <v>84</v>
      </c>
      <c r="E4" s="2" t="s">
        <v>85</v>
      </c>
      <c r="F4" s="2" t="s">
        <v>86</v>
      </c>
      <c r="G4" s="12" t="n">
        <f aca="false">INDEX('Chiến dịch'!$E:$E,MATCH(B4,'Chiến dịch'!$A:$A,0))</f>
        <v>0.08</v>
      </c>
      <c r="H4" s="13" t="n">
        <f aca="false">INDEX('Chiến dịch'!$H:$H,MATCH(B4,'Chiến dịch'!$A:$A,0))</f>
        <v>2000</v>
      </c>
      <c r="I4" s="6"/>
      <c r="J4" s="2" t="s">
        <v>87</v>
      </c>
      <c r="K4" s="2" t="s">
        <v>88</v>
      </c>
      <c r="L4" s="2" t="s">
        <v>89</v>
      </c>
      <c r="M4" s="2" t="s">
        <v>90</v>
      </c>
    </row>
    <row r="5" customFormat="false" ht="46.25" hidden="false" customHeight="false" outlineLevel="0" collapsed="false">
      <c r="A5" s="2" t="s">
        <v>91</v>
      </c>
      <c r="B5" s="2" t="s">
        <v>21</v>
      </c>
      <c r="C5" s="11" t="str">
        <f aca="false">INDEX('Chiến dịch'!$C:$C,MATCH(B5,'Chiến dịch'!$A:$A,0))</f>
        <v>Cỏ Mềm</v>
      </c>
      <c r="D5" s="2" t="s">
        <v>92</v>
      </c>
      <c r="E5" s="2" t="s">
        <v>93</v>
      </c>
      <c r="F5" s="2" t="s">
        <v>94</v>
      </c>
      <c r="G5" s="12" t="n">
        <f aca="false">INDEX('Chiến dịch'!$E:$E,MATCH(B5,'Chiến dịch'!$A:$A,0))</f>
        <v>0.08</v>
      </c>
      <c r="H5" s="13" t="n">
        <f aca="false">INDEX('Chiến dịch'!$H:$H,MATCH(B5,'Chiến dịch'!$A:$A,0))</f>
        <v>2000</v>
      </c>
      <c r="I5" s="6"/>
      <c r="J5" s="2" t="s">
        <v>95</v>
      </c>
      <c r="K5" s="2" t="s">
        <v>96</v>
      </c>
      <c r="L5" s="2" t="s">
        <v>97</v>
      </c>
      <c r="M5" s="2" t="s">
        <v>98</v>
      </c>
    </row>
    <row r="6" customFormat="false" ht="35.05" hidden="false" customHeight="false" outlineLevel="0" collapsed="false">
      <c r="A6" s="2" t="s">
        <v>99</v>
      </c>
      <c r="B6" s="2" t="s">
        <v>21</v>
      </c>
      <c r="C6" s="11" t="str">
        <f aca="false">INDEX('Chiến dịch'!$C:$C,MATCH(B6,'Chiến dịch'!$A:$A,0))</f>
        <v>Cỏ Mềm</v>
      </c>
      <c r="D6" s="2" t="s">
        <v>84</v>
      </c>
      <c r="E6" s="2" t="s">
        <v>100</v>
      </c>
      <c r="F6" s="2" t="s">
        <v>101</v>
      </c>
      <c r="G6" s="12" t="n">
        <f aca="false">INDEX('Chiến dịch'!$E:$E,MATCH(B6,'Chiến dịch'!$A:$A,0))</f>
        <v>0.08</v>
      </c>
      <c r="H6" s="13" t="n">
        <f aca="false">INDEX('Chiến dịch'!$H:$H,MATCH(B6,'Chiến dịch'!$A:$A,0))</f>
        <v>2000</v>
      </c>
      <c r="I6" s="6"/>
      <c r="J6" s="2" t="s">
        <v>102</v>
      </c>
      <c r="K6" s="2" t="s">
        <v>103</v>
      </c>
      <c r="L6" s="2" t="s">
        <v>104</v>
      </c>
      <c r="M6" s="2" t="s">
        <v>105</v>
      </c>
    </row>
    <row r="7" customFormat="false" ht="35.05" hidden="false" customHeight="false" outlineLevel="0" collapsed="false">
      <c r="A7" s="2" t="s">
        <v>106</v>
      </c>
      <c r="B7" s="2" t="s">
        <v>21</v>
      </c>
      <c r="C7" s="11" t="str">
        <f aca="false">INDEX('Chiến dịch'!$C:$C,MATCH(B7,'Chiến dịch'!$A:$A,0))</f>
        <v>Cỏ Mềm</v>
      </c>
      <c r="D7" s="2" t="s">
        <v>107</v>
      </c>
      <c r="E7" s="2" t="s">
        <v>108</v>
      </c>
      <c r="F7" s="2" t="s">
        <v>109</v>
      </c>
      <c r="G7" s="12" t="n">
        <f aca="false">INDEX('Chiến dịch'!$E:$E,MATCH(B7,'Chiến dịch'!$A:$A,0))</f>
        <v>0.08</v>
      </c>
      <c r="H7" s="13" t="n">
        <f aca="false">INDEX('Chiến dịch'!$H:$H,MATCH(B7,'Chiến dịch'!$A:$A,0))</f>
        <v>2000</v>
      </c>
      <c r="I7" s="6"/>
      <c r="J7" s="2" t="s">
        <v>110</v>
      </c>
      <c r="K7" s="2" t="s">
        <v>111</v>
      </c>
      <c r="L7" s="2" t="s">
        <v>112</v>
      </c>
      <c r="M7" s="2" t="s">
        <v>113</v>
      </c>
    </row>
    <row r="8" customFormat="false" ht="46.25" hidden="false" customHeight="false" outlineLevel="0" collapsed="false">
      <c r="A8" s="2" t="s">
        <v>114</v>
      </c>
      <c r="B8" s="2" t="s">
        <v>21</v>
      </c>
      <c r="C8" s="11" t="str">
        <f aca="false">INDEX('Chiến dịch'!$C:$C,MATCH(B8,'Chiến dịch'!$A:$A,0))</f>
        <v>Cỏ Mềm</v>
      </c>
      <c r="D8" s="2" t="s">
        <v>68</v>
      </c>
      <c r="E8" s="2" t="s">
        <v>115</v>
      </c>
      <c r="F8" s="2" t="s">
        <v>116</v>
      </c>
      <c r="G8" s="12" t="n">
        <f aca="false">INDEX('Chiến dịch'!$E:$E,MATCH(B8,'Chiến dịch'!$A:$A,0))</f>
        <v>0.08</v>
      </c>
      <c r="H8" s="13" t="n">
        <f aca="false">INDEX('Chiến dịch'!$H:$H,MATCH(B8,'Chiến dịch'!$A:$A,0))</f>
        <v>2000</v>
      </c>
      <c r="I8" s="6"/>
      <c r="J8" s="2" t="s">
        <v>117</v>
      </c>
      <c r="K8" s="2" t="s">
        <v>118</v>
      </c>
      <c r="L8" s="2" t="s">
        <v>119</v>
      </c>
      <c r="M8" s="2" t="s">
        <v>120</v>
      </c>
    </row>
    <row r="9" customFormat="false" ht="46.25" hidden="false" customHeight="false" outlineLevel="0" collapsed="false">
      <c r="A9" s="2" t="s">
        <v>121</v>
      </c>
      <c r="B9" s="2" t="s">
        <v>21</v>
      </c>
      <c r="C9" s="11" t="str">
        <f aca="false">INDEX('Chiến dịch'!$C:$C,MATCH(B9,'Chiến dịch'!$A:$A,0))</f>
        <v>Cỏ Mềm</v>
      </c>
      <c r="D9" s="2" t="s">
        <v>84</v>
      </c>
      <c r="E9" s="2" t="s">
        <v>122</v>
      </c>
      <c r="F9" s="2" t="s">
        <v>123</v>
      </c>
      <c r="G9" s="12" t="n">
        <f aca="false">INDEX('Chiến dịch'!$E:$E,MATCH(B9,'Chiến dịch'!$A:$A,0))</f>
        <v>0.08</v>
      </c>
      <c r="H9" s="13" t="n">
        <f aca="false">INDEX('Chiến dịch'!$H:$H,MATCH(B9,'Chiến dịch'!$A:$A,0))</f>
        <v>2000</v>
      </c>
      <c r="I9" s="6"/>
      <c r="J9" s="2" t="s">
        <v>124</v>
      </c>
      <c r="K9" s="2" t="s">
        <v>125</v>
      </c>
      <c r="L9" s="2" t="s">
        <v>126</v>
      </c>
      <c r="M9" s="2" t="s">
        <v>127</v>
      </c>
    </row>
    <row r="10" customFormat="false" ht="46.25" hidden="false" customHeight="false" outlineLevel="0" collapsed="false">
      <c r="A10" s="2" t="s">
        <v>128</v>
      </c>
      <c r="B10" s="2" t="s">
        <v>21</v>
      </c>
      <c r="C10" s="11" t="str">
        <f aca="false">INDEX('Chiến dịch'!$C:$C,MATCH(B10,'Chiến dịch'!$A:$A,0))</f>
        <v>Cỏ Mềm</v>
      </c>
      <c r="D10" s="2" t="s">
        <v>84</v>
      </c>
      <c r="E10" s="2" t="s">
        <v>129</v>
      </c>
      <c r="F10" s="2" t="s">
        <v>130</v>
      </c>
      <c r="G10" s="12" t="n">
        <f aca="false">INDEX('Chiến dịch'!$E:$E,MATCH(B10,'Chiến dịch'!$A:$A,0))</f>
        <v>0.08</v>
      </c>
      <c r="H10" s="13" t="n">
        <f aca="false">INDEX('Chiến dịch'!$H:$H,MATCH(B10,'Chiến dịch'!$A:$A,0))</f>
        <v>2000</v>
      </c>
      <c r="I10" s="6"/>
      <c r="J10" s="2" t="s">
        <v>131</v>
      </c>
      <c r="K10" s="2" t="s">
        <v>132</v>
      </c>
      <c r="L10" s="2" t="s">
        <v>133</v>
      </c>
      <c r="M10" s="2" t="s">
        <v>134</v>
      </c>
    </row>
    <row r="11" customFormat="false" ht="46.25" hidden="false" customHeight="false" outlineLevel="0" collapsed="false">
      <c r="A11" s="2" t="s">
        <v>135</v>
      </c>
      <c r="B11" s="2" t="s">
        <v>21</v>
      </c>
      <c r="C11" s="11" t="str">
        <f aca="false">INDEX('Chiến dịch'!$C:$C,MATCH(B11,'Chiến dịch'!$A:$A,0))</f>
        <v>Cỏ Mềm</v>
      </c>
      <c r="D11" s="2" t="s">
        <v>136</v>
      </c>
      <c r="E11" s="2" t="s">
        <v>137</v>
      </c>
      <c r="F11" s="2" t="s">
        <v>138</v>
      </c>
      <c r="G11" s="12" t="n">
        <f aca="false">INDEX('Chiến dịch'!$E:$E,MATCH(B11,'Chiến dịch'!$A:$A,0))</f>
        <v>0.08</v>
      </c>
      <c r="H11" s="13" t="n">
        <f aca="false">INDEX('Chiến dịch'!$H:$H,MATCH(B11,'Chiến dịch'!$A:$A,0))</f>
        <v>2000</v>
      </c>
      <c r="I11" s="6"/>
      <c r="J11" s="2" t="s">
        <v>139</v>
      </c>
      <c r="K11" s="2" t="s">
        <v>140</v>
      </c>
      <c r="L11" s="2" t="s">
        <v>141</v>
      </c>
      <c r="M11" s="2" t="s">
        <v>142</v>
      </c>
    </row>
    <row r="12" customFormat="false" ht="35.05" hidden="false" customHeight="false" outlineLevel="0" collapsed="false">
      <c r="A12" s="2" t="s">
        <v>143</v>
      </c>
      <c r="B12" s="2" t="s">
        <v>21</v>
      </c>
      <c r="C12" s="11" t="str">
        <f aca="false">INDEX('Chiến dịch'!$C:$C,MATCH(B12,'Chiến dịch'!$A:$A,0))</f>
        <v>Cỏ Mềm</v>
      </c>
      <c r="D12" s="2" t="s">
        <v>144</v>
      </c>
      <c r="E12" s="2" t="s">
        <v>145</v>
      </c>
      <c r="F12" s="2" t="s">
        <v>146</v>
      </c>
      <c r="G12" s="12" t="n">
        <f aca="false">INDEX('Chiến dịch'!$E:$E,MATCH(B12,'Chiến dịch'!$A:$A,0))</f>
        <v>0.08</v>
      </c>
      <c r="H12" s="13" t="n">
        <f aca="false">INDEX('Chiến dịch'!$H:$H,MATCH(B12,'Chiến dịch'!$A:$A,0))</f>
        <v>2000</v>
      </c>
      <c r="I12" s="6"/>
      <c r="J12" s="2" t="s">
        <v>147</v>
      </c>
      <c r="K12" s="2" t="s">
        <v>148</v>
      </c>
      <c r="L12" s="2" t="s">
        <v>149</v>
      </c>
      <c r="M12" s="2" t="s">
        <v>150</v>
      </c>
    </row>
    <row r="13" customFormat="false" ht="35.05" hidden="false" customHeight="false" outlineLevel="0" collapsed="false">
      <c r="A13" s="2" t="s">
        <v>151</v>
      </c>
      <c r="B13" s="2" t="s">
        <v>21</v>
      </c>
      <c r="C13" s="11" t="str">
        <f aca="false">INDEX('Chiến dịch'!$C:$C,MATCH(B13,'Chiến dịch'!$A:$A,0))</f>
        <v>Cỏ Mềm</v>
      </c>
      <c r="D13" s="2" t="s">
        <v>152</v>
      </c>
      <c r="E13" s="2" t="s">
        <v>153</v>
      </c>
      <c r="F13" s="2" t="s">
        <v>154</v>
      </c>
      <c r="G13" s="12" t="n">
        <f aca="false">INDEX('Chiến dịch'!$E:$E,MATCH(B13,'Chiến dịch'!$A:$A,0))</f>
        <v>0.08</v>
      </c>
      <c r="H13" s="13" t="n">
        <f aca="false">INDEX('Chiến dịch'!$H:$H,MATCH(B13,'Chiến dịch'!$A:$A,0))</f>
        <v>2000</v>
      </c>
      <c r="I13" s="6"/>
      <c r="J13" s="2" t="s">
        <v>155</v>
      </c>
      <c r="K13" s="2" t="s">
        <v>156</v>
      </c>
      <c r="L13" s="2" t="s">
        <v>157</v>
      </c>
      <c r="M13" s="2" t="s">
        <v>158</v>
      </c>
    </row>
    <row r="14" customFormat="false" ht="35.05" hidden="false" customHeight="false" outlineLevel="0" collapsed="false">
      <c r="A14" s="2" t="s">
        <v>159</v>
      </c>
      <c r="B14" s="2" t="s">
        <v>21</v>
      </c>
      <c r="C14" s="11" t="str">
        <f aca="false">INDEX('Chiến dịch'!$C:$C,MATCH(B14,'Chiến dịch'!$A:$A,0))</f>
        <v>Cỏ Mềm</v>
      </c>
      <c r="D14" s="2" t="s">
        <v>68</v>
      </c>
      <c r="E14" s="2" t="s">
        <v>160</v>
      </c>
      <c r="F14" s="2" t="s">
        <v>161</v>
      </c>
      <c r="G14" s="12" t="n">
        <f aca="false">INDEX('Chiến dịch'!$E:$E,MATCH(B14,'Chiến dịch'!$A:$A,0))</f>
        <v>0.08</v>
      </c>
      <c r="H14" s="13" t="n">
        <f aca="false">INDEX('Chiến dịch'!$H:$H,MATCH(B14,'Chiến dịch'!$A:$A,0))</f>
        <v>2000</v>
      </c>
      <c r="I14" s="6"/>
      <c r="J14" s="2" t="s">
        <v>162</v>
      </c>
      <c r="K14" s="2" t="s">
        <v>163</v>
      </c>
      <c r="L14" s="2" t="s">
        <v>164</v>
      </c>
      <c r="M14" s="2" t="s">
        <v>165</v>
      </c>
    </row>
    <row r="15" customFormat="false" ht="46.25" hidden="false" customHeight="false" outlineLevel="0" collapsed="false">
      <c r="A15" s="2" t="s">
        <v>166</v>
      </c>
      <c r="B15" s="2" t="s">
        <v>21</v>
      </c>
      <c r="C15" s="11" t="str">
        <f aca="false">INDEX('Chiến dịch'!$C:$C,MATCH(B15,'Chiến dịch'!$A:$A,0))</f>
        <v>Cỏ Mềm</v>
      </c>
      <c r="D15" s="2" t="s">
        <v>167</v>
      </c>
      <c r="E15" s="2" t="s">
        <v>168</v>
      </c>
      <c r="F15" s="2" t="s">
        <v>169</v>
      </c>
      <c r="G15" s="12" t="n">
        <f aca="false">INDEX('Chiến dịch'!$E:$E,MATCH(B15,'Chiến dịch'!$A:$A,0))</f>
        <v>0.08</v>
      </c>
      <c r="H15" s="13" t="n">
        <f aca="false">INDEX('Chiến dịch'!$H:$H,MATCH(B15,'Chiến dịch'!$A:$A,0))</f>
        <v>2000</v>
      </c>
      <c r="I15" s="6"/>
      <c r="J15" s="2" t="s">
        <v>170</v>
      </c>
      <c r="K15" s="2" t="s">
        <v>171</v>
      </c>
      <c r="L15" s="2" t="s">
        <v>172</v>
      </c>
      <c r="M15" s="2" t="s">
        <v>173</v>
      </c>
    </row>
    <row r="16" customFormat="false" ht="46.25" hidden="false" customHeight="false" outlineLevel="0" collapsed="false">
      <c r="A16" s="2" t="s">
        <v>174</v>
      </c>
      <c r="B16" s="2" t="s">
        <v>21</v>
      </c>
      <c r="C16" s="11" t="str">
        <f aca="false">INDEX('Chiến dịch'!$C:$C,MATCH(B16,'Chiến dịch'!$A:$A,0))</f>
        <v>Cỏ Mềm</v>
      </c>
      <c r="D16" s="2" t="s">
        <v>175</v>
      </c>
      <c r="E16" s="2" t="s">
        <v>176</v>
      </c>
      <c r="F16" s="2" t="s">
        <v>177</v>
      </c>
      <c r="G16" s="12" t="n">
        <f aca="false">INDEX('Chiến dịch'!$E:$E,MATCH(B16,'Chiến dịch'!$A:$A,0))</f>
        <v>0.08</v>
      </c>
      <c r="H16" s="13" t="n">
        <f aca="false">INDEX('Chiến dịch'!$H:$H,MATCH(B16,'Chiến dịch'!$A:$A,0))</f>
        <v>2000</v>
      </c>
      <c r="I16" s="6"/>
      <c r="J16" s="2" t="s">
        <v>178</v>
      </c>
      <c r="K16" s="2" t="s">
        <v>179</v>
      </c>
      <c r="L16" s="2" t="s">
        <v>180</v>
      </c>
      <c r="M16" s="2" t="s">
        <v>181</v>
      </c>
    </row>
    <row r="17" customFormat="false" ht="57.45" hidden="false" customHeight="false" outlineLevel="0" collapsed="false">
      <c r="A17" s="2" t="s">
        <v>182</v>
      </c>
      <c r="B17" s="2" t="s">
        <v>36</v>
      </c>
      <c r="C17" s="11" t="str">
        <f aca="false">INDEX('Chiến dịch'!$C:$C,MATCH(B17,'Chiến dịch'!$A:$A,0))</f>
        <v>TOPTOTOES x BIELENDA</v>
      </c>
      <c r="D17" s="2" t="s">
        <v>183</v>
      </c>
      <c r="E17" s="2" t="s">
        <v>184</v>
      </c>
      <c r="F17" s="2" t="s">
        <v>185</v>
      </c>
      <c r="G17" s="12" t="n">
        <f aca="false">INDEX('Chiến dịch'!$E:$E,MATCH(B17,'Chiến dịch'!$A:$A,0))</f>
        <v>0.11</v>
      </c>
      <c r="H17" s="13" t="n">
        <f aca="false">INDEX('Chiến dịch'!$H:$H,MATCH(B17,'Chiến dịch'!$A:$A,0))</f>
        <v>1000</v>
      </c>
      <c r="I17" s="6"/>
      <c r="J17" s="2" t="s">
        <v>186</v>
      </c>
      <c r="K17" s="2" t="s">
        <v>187</v>
      </c>
      <c r="L17" s="2" t="s">
        <v>188</v>
      </c>
      <c r="M17" s="2" t="s">
        <v>189</v>
      </c>
    </row>
    <row r="18" customFormat="false" ht="46.25" hidden="false" customHeight="false" outlineLevel="0" collapsed="false">
      <c r="A18" s="2" t="s">
        <v>190</v>
      </c>
      <c r="B18" s="2" t="s">
        <v>36</v>
      </c>
      <c r="C18" s="11" t="str">
        <f aca="false">INDEX('Chiến dịch'!$C:$C,MATCH(B18,'Chiến dịch'!$A:$A,0))</f>
        <v>TOPTOTOES x BIELENDA</v>
      </c>
      <c r="D18" s="2" t="s">
        <v>183</v>
      </c>
      <c r="E18" s="2" t="s">
        <v>191</v>
      </c>
      <c r="F18" s="2" t="s">
        <v>192</v>
      </c>
      <c r="G18" s="12" t="n">
        <f aca="false">INDEX('Chiến dịch'!$E:$E,MATCH(B18,'Chiến dịch'!$A:$A,0))</f>
        <v>0.11</v>
      </c>
      <c r="H18" s="13" t="n">
        <f aca="false">INDEX('Chiến dịch'!$H:$H,MATCH(B18,'Chiến dịch'!$A:$A,0))</f>
        <v>1000</v>
      </c>
      <c r="I18" s="6"/>
      <c r="J18" s="2" t="s">
        <v>193</v>
      </c>
      <c r="K18" s="2" t="s">
        <v>194</v>
      </c>
      <c r="L18" s="2" t="s">
        <v>195</v>
      </c>
      <c r="M18" s="2" t="s">
        <v>196</v>
      </c>
    </row>
    <row r="19" customFormat="false" ht="46.25" hidden="false" customHeight="false" outlineLevel="0" collapsed="false">
      <c r="A19" s="2" t="s">
        <v>197</v>
      </c>
      <c r="B19" s="2" t="s">
        <v>36</v>
      </c>
      <c r="C19" s="11" t="str">
        <f aca="false">INDEX('Chiến dịch'!$C:$C,MATCH(B19,'Chiến dịch'!$A:$A,0))</f>
        <v>TOPTOTOES x BIELENDA</v>
      </c>
      <c r="D19" s="2" t="s">
        <v>198</v>
      </c>
      <c r="E19" s="2" t="s">
        <v>199</v>
      </c>
      <c r="F19" s="2" t="s">
        <v>200</v>
      </c>
      <c r="G19" s="12" t="n">
        <f aca="false">INDEX('Chiến dịch'!$E:$E,MATCH(B19,'Chiến dịch'!$A:$A,0))</f>
        <v>0.11</v>
      </c>
      <c r="H19" s="13" t="n">
        <f aca="false">INDEX('Chiến dịch'!$H:$H,MATCH(B19,'Chiến dịch'!$A:$A,0))</f>
        <v>1000</v>
      </c>
      <c r="I19" s="6"/>
      <c r="J19" s="2" t="s">
        <v>201</v>
      </c>
      <c r="K19" s="2" t="s">
        <v>202</v>
      </c>
      <c r="L19" s="2" t="s">
        <v>203</v>
      </c>
      <c r="M19" s="2" t="s">
        <v>204</v>
      </c>
    </row>
    <row r="20" customFormat="false" ht="46.25" hidden="false" customHeight="false" outlineLevel="0" collapsed="false">
      <c r="A20" s="2" t="s">
        <v>205</v>
      </c>
      <c r="B20" s="2" t="s">
        <v>36</v>
      </c>
      <c r="C20" s="11" t="str">
        <f aca="false">INDEX('Chiến dịch'!$C:$C,MATCH(B20,'Chiến dịch'!$A:$A,0))</f>
        <v>TOPTOTOES x BIELENDA</v>
      </c>
      <c r="D20" s="2" t="s">
        <v>183</v>
      </c>
      <c r="E20" s="2" t="s">
        <v>206</v>
      </c>
      <c r="F20" s="2" t="s">
        <v>206</v>
      </c>
      <c r="G20" s="12" t="n">
        <f aca="false">INDEX('Chiến dịch'!$E:$E,MATCH(B20,'Chiến dịch'!$A:$A,0))</f>
        <v>0.11</v>
      </c>
      <c r="H20" s="13" t="n">
        <f aca="false">INDEX('Chiến dịch'!$H:$H,MATCH(B20,'Chiến dịch'!$A:$A,0))</f>
        <v>1000</v>
      </c>
      <c r="I20" s="6"/>
      <c r="J20" s="2" t="s">
        <v>207</v>
      </c>
      <c r="K20" s="2" t="s">
        <v>208</v>
      </c>
      <c r="L20" s="2" t="s">
        <v>209</v>
      </c>
      <c r="M20" s="2" t="s">
        <v>210</v>
      </c>
    </row>
    <row r="21" customFormat="false" ht="46.25" hidden="false" customHeight="false" outlineLevel="0" collapsed="false">
      <c r="A21" s="2" t="s">
        <v>211</v>
      </c>
      <c r="B21" s="2" t="s">
        <v>36</v>
      </c>
      <c r="C21" s="11" t="str">
        <f aca="false">INDEX('Chiến dịch'!$C:$C,MATCH(B21,'Chiến dịch'!$A:$A,0))</f>
        <v>TOPTOTOES x BIELENDA</v>
      </c>
      <c r="D21" s="2" t="s">
        <v>212</v>
      </c>
      <c r="E21" s="2" t="s">
        <v>213</v>
      </c>
      <c r="F21" s="2" t="s">
        <v>214</v>
      </c>
      <c r="G21" s="12" t="n">
        <f aca="false">INDEX('Chiến dịch'!$E:$E,MATCH(B21,'Chiến dịch'!$A:$A,0))</f>
        <v>0.11</v>
      </c>
      <c r="H21" s="13" t="n">
        <f aca="false">INDEX('Chiến dịch'!$H:$H,MATCH(B21,'Chiến dịch'!$A:$A,0))</f>
        <v>1000</v>
      </c>
      <c r="I21" s="6"/>
      <c r="J21" s="2" t="s">
        <v>215</v>
      </c>
      <c r="K21" s="2" t="s">
        <v>216</v>
      </c>
      <c r="L21" s="2" t="s">
        <v>217</v>
      </c>
      <c r="M21" s="2" t="s">
        <v>218</v>
      </c>
    </row>
    <row r="22" customFormat="false" ht="46.25" hidden="false" customHeight="false" outlineLevel="0" collapsed="false">
      <c r="A22" s="2" t="s">
        <v>219</v>
      </c>
      <c r="B22" s="2" t="s">
        <v>36</v>
      </c>
      <c r="C22" s="11" t="str">
        <f aca="false">INDEX('Chiến dịch'!$C:$C,MATCH(B22,'Chiến dịch'!$A:$A,0))</f>
        <v>TOPTOTOES x BIELENDA</v>
      </c>
      <c r="D22" s="2" t="s">
        <v>198</v>
      </c>
      <c r="E22" s="2" t="s">
        <v>220</v>
      </c>
      <c r="F22" s="2" t="s">
        <v>221</v>
      </c>
      <c r="G22" s="12" t="n">
        <f aca="false">INDEX('Chiến dịch'!$E:$E,MATCH(B22,'Chiến dịch'!$A:$A,0))</f>
        <v>0.11</v>
      </c>
      <c r="H22" s="13" t="n">
        <f aca="false">INDEX('Chiến dịch'!$H:$H,MATCH(B22,'Chiến dịch'!$A:$A,0))</f>
        <v>1000</v>
      </c>
      <c r="I22" s="6"/>
      <c r="J22" s="2" t="s">
        <v>222</v>
      </c>
      <c r="K22" s="2" t="s">
        <v>223</v>
      </c>
      <c r="L22" s="2" t="s">
        <v>224</v>
      </c>
      <c r="M22" s="2" t="s">
        <v>225</v>
      </c>
    </row>
    <row r="23" customFormat="false" ht="57.45" hidden="false" customHeight="false" outlineLevel="0" collapsed="false">
      <c r="A23" s="2" t="s">
        <v>226</v>
      </c>
      <c r="B23" s="2" t="s">
        <v>36</v>
      </c>
      <c r="C23" s="11" t="str">
        <f aca="false">INDEX('Chiến dịch'!$C:$C,MATCH(B23,'Chiến dịch'!$A:$A,0))</f>
        <v>TOPTOTOES x BIELENDA</v>
      </c>
      <c r="D23" s="2" t="s">
        <v>227</v>
      </c>
      <c r="E23" s="2" t="s">
        <v>228</v>
      </c>
      <c r="F23" s="2" t="s">
        <v>229</v>
      </c>
      <c r="G23" s="12" t="n">
        <f aca="false">INDEX('Chiến dịch'!$E:$E,MATCH(B23,'Chiến dịch'!$A:$A,0))</f>
        <v>0.11</v>
      </c>
      <c r="H23" s="13" t="n">
        <f aca="false">INDEX('Chiến dịch'!$H:$H,MATCH(B23,'Chiến dịch'!$A:$A,0))</f>
        <v>1000</v>
      </c>
      <c r="I23" s="6"/>
      <c r="J23" s="2" t="s">
        <v>230</v>
      </c>
      <c r="K23" s="2" t="s">
        <v>231</v>
      </c>
      <c r="L23" s="2" t="s">
        <v>232</v>
      </c>
      <c r="M23" s="2" t="s">
        <v>233</v>
      </c>
    </row>
    <row r="24" customFormat="false" ht="46.25" hidden="false" customHeight="false" outlineLevel="0" collapsed="false">
      <c r="A24" s="2" t="s">
        <v>234</v>
      </c>
      <c r="B24" s="2" t="s">
        <v>36</v>
      </c>
      <c r="C24" s="11" t="str">
        <f aca="false">INDEX('Chiến dịch'!$C:$C,MATCH(B24,'Chiến dịch'!$A:$A,0))</f>
        <v>TOPTOTOES x BIELENDA</v>
      </c>
      <c r="D24" s="2" t="s">
        <v>235</v>
      </c>
      <c r="E24" s="2" t="s">
        <v>236</v>
      </c>
      <c r="F24" s="2" t="s">
        <v>237</v>
      </c>
      <c r="G24" s="12" t="n">
        <f aca="false">INDEX('Chiến dịch'!$E:$E,MATCH(B24,'Chiến dịch'!$A:$A,0))</f>
        <v>0.11</v>
      </c>
      <c r="H24" s="13" t="n">
        <f aca="false">INDEX('Chiến dịch'!$H:$H,MATCH(B24,'Chiến dịch'!$A:$A,0))</f>
        <v>1000</v>
      </c>
      <c r="I24" s="6"/>
      <c r="J24" s="2" t="s">
        <v>238</v>
      </c>
      <c r="K24" s="2" t="s">
        <v>239</v>
      </c>
      <c r="L24" s="2" t="s">
        <v>240</v>
      </c>
      <c r="M24" s="2" t="s">
        <v>241</v>
      </c>
    </row>
    <row r="25" customFormat="false" ht="46.25" hidden="false" customHeight="false" outlineLevel="0" collapsed="false">
      <c r="A25" s="2" t="s">
        <v>242</v>
      </c>
      <c r="B25" s="2" t="s">
        <v>36</v>
      </c>
      <c r="C25" s="11" t="str">
        <f aca="false">INDEX('Chiến dịch'!$C:$C,MATCH(B25,'Chiến dịch'!$A:$A,0))</f>
        <v>TOPTOTOES x BIELENDA</v>
      </c>
      <c r="D25" s="2" t="s">
        <v>243</v>
      </c>
      <c r="E25" s="2" t="s">
        <v>244</v>
      </c>
      <c r="F25" s="2" t="s">
        <v>245</v>
      </c>
      <c r="G25" s="12" t="n">
        <f aca="false">INDEX('Chiến dịch'!$E:$E,MATCH(B25,'Chiến dịch'!$A:$A,0))</f>
        <v>0.11</v>
      </c>
      <c r="H25" s="13" t="n">
        <f aca="false">INDEX('Chiến dịch'!$H:$H,MATCH(B25,'Chiến dịch'!$A:$A,0))</f>
        <v>1000</v>
      </c>
      <c r="I25" s="6"/>
      <c r="J25" s="2" t="s">
        <v>246</v>
      </c>
      <c r="K25" s="2" t="s">
        <v>247</v>
      </c>
      <c r="L25" s="2" t="s">
        <v>248</v>
      </c>
      <c r="M25" s="2" t="s">
        <v>249</v>
      </c>
    </row>
    <row r="26" customFormat="false" ht="46.25" hidden="false" customHeight="false" outlineLevel="0" collapsed="false">
      <c r="A26" s="2" t="s">
        <v>250</v>
      </c>
      <c r="B26" s="2" t="s">
        <v>36</v>
      </c>
      <c r="C26" s="11" t="str">
        <f aca="false">INDEX('Chiến dịch'!$C:$C,MATCH(B26,'Chiến dịch'!$A:$A,0))</f>
        <v>TOPTOTOES x BIELENDA</v>
      </c>
      <c r="D26" s="2" t="s">
        <v>243</v>
      </c>
      <c r="E26" s="2" t="s">
        <v>251</v>
      </c>
      <c r="F26" s="2" t="s">
        <v>252</v>
      </c>
      <c r="G26" s="12" t="n">
        <f aca="false">INDEX('Chiến dịch'!$E:$E,MATCH(B26,'Chiến dịch'!$A:$A,0))</f>
        <v>0.11</v>
      </c>
      <c r="H26" s="13" t="n">
        <f aca="false">INDEX('Chiến dịch'!$H:$H,MATCH(B26,'Chiến dịch'!$A:$A,0))</f>
        <v>1000</v>
      </c>
      <c r="I26" s="6"/>
      <c r="J26" s="2" t="s">
        <v>253</v>
      </c>
      <c r="K26" s="2" t="s">
        <v>254</v>
      </c>
      <c r="L26" s="2" t="s">
        <v>255</v>
      </c>
      <c r="M26" s="2" t="s">
        <v>256</v>
      </c>
    </row>
    <row r="27" customFormat="false" ht="57.45" hidden="false" customHeight="false" outlineLevel="0" collapsed="false">
      <c r="A27" s="2" t="s">
        <v>257</v>
      </c>
      <c r="B27" s="2" t="s">
        <v>36</v>
      </c>
      <c r="C27" s="11" t="str">
        <f aca="false">INDEX('Chiến dịch'!$C:$C,MATCH(B27,'Chiến dịch'!$A:$A,0))</f>
        <v>TOPTOTOES x BIELENDA</v>
      </c>
      <c r="D27" s="2" t="s">
        <v>227</v>
      </c>
      <c r="E27" s="2" t="s">
        <v>258</v>
      </c>
      <c r="F27" s="2" t="s">
        <v>259</v>
      </c>
      <c r="G27" s="12" t="n">
        <f aca="false">INDEX('Chiến dịch'!$E:$E,MATCH(B27,'Chiến dịch'!$A:$A,0))</f>
        <v>0.11</v>
      </c>
      <c r="H27" s="13" t="n">
        <f aca="false">INDEX('Chiến dịch'!$H:$H,MATCH(B27,'Chiến dịch'!$A:$A,0))</f>
        <v>1000</v>
      </c>
      <c r="I27" s="6"/>
      <c r="J27" s="2" t="s">
        <v>260</v>
      </c>
      <c r="K27" s="2" t="s">
        <v>261</v>
      </c>
      <c r="L27" s="2" t="s">
        <v>262</v>
      </c>
      <c r="M27" s="2" t="s">
        <v>263</v>
      </c>
    </row>
    <row r="28" customFormat="false" ht="46.25" hidden="false" customHeight="false" outlineLevel="0" collapsed="false">
      <c r="A28" s="2" t="s">
        <v>264</v>
      </c>
      <c r="B28" s="2" t="s">
        <v>44</v>
      </c>
      <c r="C28" s="11" t="str">
        <f aca="false">INDEX('Chiến dịch'!$C:$C,MATCH(B28,'Chiến dịch'!$A:$A,0))</f>
        <v>REDUBEAUTY x LYSMILEGO</v>
      </c>
      <c r="D28" s="2" t="s">
        <v>265</v>
      </c>
      <c r="E28" s="2" t="s">
        <v>266</v>
      </c>
      <c r="F28" s="2" t="s">
        <v>267</v>
      </c>
      <c r="G28" s="12" t="n">
        <f aca="false">INDEX('Chiến dịch'!$E:$E,MATCH(B28,'Chiến dịch'!$A:$A,0))</f>
        <v>0.12</v>
      </c>
      <c r="H28" s="13" t="str">
        <f aca="false">INDEX('Chiến dịch'!$H:$H,MATCH(B28,'Chiến dịch'!$A:$A,0))</f>
        <v>Không nêu trong form</v>
      </c>
      <c r="I28" s="6"/>
      <c r="J28" s="2" t="s">
        <v>268</v>
      </c>
      <c r="K28" s="2" t="s">
        <v>269</v>
      </c>
      <c r="L28" s="2" t="s">
        <v>270</v>
      </c>
      <c r="M28" s="2" t="s">
        <v>271</v>
      </c>
    </row>
    <row r="29" customFormat="false" ht="46.25" hidden="false" customHeight="false" outlineLevel="0" collapsed="false">
      <c r="A29" s="2" t="s">
        <v>272</v>
      </c>
      <c r="B29" s="2" t="s">
        <v>44</v>
      </c>
      <c r="C29" s="11" t="str">
        <f aca="false">INDEX('Chiến dịch'!$C:$C,MATCH(B29,'Chiến dịch'!$A:$A,0))</f>
        <v>REDUBEAUTY x LYSMILEGO</v>
      </c>
      <c r="D29" s="2" t="s">
        <v>265</v>
      </c>
      <c r="E29" s="2" t="s">
        <v>273</v>
      </c>
      <c r="F29" s="2" t="s">
        <v>274</v>
      </c>
      <c r="G29" s="12" t="n">
        <f aca="false">INDEX('Chiến dịch'!$E:$E,MATCH(B29,'Chiến dịch'!$A:$A,0))</f>
        <v>0.12</v>
      </c>
      <c r="H29" s="13" t="str">
        <f aca="false">INDEX('Chiến dịch'!$H:$H,MATCH(B29,'Chiến dịch'!$A:$A,0))</f>
        <v>Không nêu trong form</v>
      </c>
      <c r="I29" s="6"/>
      <c r="J29" s="2" t="s">
        <v>275</v>
      </c>
      <c r="K29" s="2" t="s">
        <v>276</v>
      </c>
      <c r="L29" s="2" t="s">
        <v>277</v>
      </c>
      <c r="M29" s="2" t="s">
        <v>278</v>
      </c>
    </row>
    <row r="30" customFormat="false" ht="46.25" hidden="false" customHeight="false" outlineLevel="0" collapsed="false">
      <c r="A30" s="2" t="s">
        <v>279</v>
      </c>
      <c r="B30" s="2" t="s">
        <v>44</v>
      </c>
      <c r="C30" s="11" t="str">
        <f aca="false">INDEX('Chiến dịch'!$C:$C,MATCH(B30,'Chiến dịch'!$A:$A,0))</f>
        <v>REDUBEAUTY x LYSMILEGO</v>
      </c>
      <c r="D30" s="2" t="s">
        <v>280</v>
      </c>
      <c r="E30" s="2" t="s">
        <v>281</v>
      </c>
      <c r="F30" s="2" t="s">
        <v>282</v>
      </c>
      <c r="G30" s="12" t="n">
        <f aca="false">INDEX('Chiến dịch'!$E:$E,MATCH(B30,'Chiến dịch'!$A:$A,0))</f>
        <v>0.12</v>
      </c>
      <c r="H30" s="13" t="str">
        <f aca="false">INDEX('Chiến dịch'!$H:$H,MATCH(B30,'Chiến dịch'!$A:$A,0))</f>
        <v>Không nêu trong form</v>
      </c>
      <c r="I30" s="6"/>
      <c r="J30" s="2" t="s">
        <v>283</v>
      </c>
      <c r="K30" s="2" t="s">
        <v>284</v>
      </c>
      <c r="L30" s="2" t="s">
        <v>285</v>
      </c>
      <c r="M30" s="2" t="s">
        <v>286</v>
      </c>
    </row>
  </sheetData>
  <autoFilter ref="A1:M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6"/>
    <col collapsed="false" customWidth="true" hidden="false" outlineLevel="0" max="4" min="4" style="0" width="58"/>
    <col collapsed="false" customWidth="true" hidden="false" outlineLevel="0" max="5" min="5" style="0" width="16"/>
  </cols>
  <sheetData>
    <row r="1" customFormat="false" ht="36" hidden="false" customHeight="true" outlineLevel="0" collapsed="false">
      <c r="A1" s="1" t="s">
        <v>0</v>
      </c>
      <c r="B1" s="1" t="s">
        <v>2</v>
      </c>
      <c r="C1" s="1" t="s">
        <v>287</v>
      </c>
      <c r="D1" s="1" t="s">
        <v>288</v>
      </c>
      <c r="E1" s="1" t="s">
        <v>289</v>
      </c>
    </row>
    <row r="2" customFormat="false" ht="15" hidden="false" customHeight="false" outlineLevel="0" collapsed="false">
      <c r="A2" s="2" t="s">
        <v>21</v>
      </c>
      <c r="B2" s="11" t="str">
        <f aca="false">INDEX('Chiến dịch'!$C:$C,MATCH(A2,'Chiến dịch'!$A:$A,0))</f>
        <v>Cỏ Mềm</v>
      </c>
      <c r="C2" s="2" t="n">
        <v>1</v>
      </c>
      <c r="D2" s="2" t="s">
        <v>290</v>
      </c>
      <c r="E2" s="6"/>
    </row>
    <row r="3" customFormat="false" ht="15" hidden="false" customHeight="false" outlineLevel="0" collapsed="false">
      <c r="A3" s="2" t="s">
        <v>21</v>
      </c>
      <c r="B3" s="11" t="str">
        <f aca="false">INDEX('Chiến dịch'!$C:$C,MATCH(A3,'Chiến dịch'!$A:$A,0))</f>
        <v>Cỏ Mềm</v>
      </c>
      <c r="C3" s="2" t="n">
        <v>2</v>
      </c>
      <c r="D3" s="2" t="s">
        <v>291</v>
      </c>
      <c r="E3" s="6"/>
    </row>
    <row r="4" customFormat="false" ht="15" hidden="false" customHeight="false" outlineLevel="0" collapsed="false">
      <c r="A4" s="2" t="s">
        <v>21</v>
      </c>
      <c r="B4" s="11" t="str">
        <f aca="false">INDEX('Chiến dịch'!$C:$C,MATCH(A4,'Chiến dịch'!$A:$A,0))</f>
        <v>Cỏ Mềm</v>
      </c>
      <c r="C4" s="2" t="n">
        <v>3</v>
      </c>
      <c r="D4" s="2" t="s">
        <v>292</v>
      </c>
      <c r="E4" s="6"/>
    </row>
    <row r="5" customFormat="false" ht="15" hidden="false" customHeight="false" outlineLevel="0" collapsed="false">
      <c r="A5" s="2" t="s">
        <v>21</v>
      </c>
      <c r="B5" s="11" t="str">
        <f aca="false">INDEX('Chiến dịch'!$C:$C,MATCH(A5,'Chiến dịch'!$A:$A,0))</f>
        <v>Cỏ Mềm</v>
      </c>
      <c r="C5" s="2" t="n">
        <v>4</v>
      </c>
      <c r="D5" s="2" t="s">
        <v>293</v>
      </c>
      <c r="E5" s="6"/>
    </row>
    <row r="6" customFormat="false" ht="15" hidden="false" customHeight="false" outlineLevel="0" collapsed="false">
      <c r="A6" s="2" t="s">
        <v>21</v>
      </c>
      <c r="B6" s="11" t="str">
        <f aca="false">INDEX('Chiến dịch'!$C:$C,MATCH(A6,'Chiến dịch'!$A:$A,0))</f>
        <v>Cỏ Mềm</v>
      </c>
      <c r="C6" s="2" t="n">
        <v>5</v>
      </c>
      <c r="D6" s="2" t="s">
        <v>294</v>
      </c>
      <c r="E6" s="6"/>
    </row>
    <row r="7" customFormat="false" ht="15" hidden="false" customHeight="false" outlineLevel="0" collapsed="false">
      <c r="A7" s="2" t="s">
        <v>36</v>
      </c>
      <c r="B7" s="11" t="str">
        <f aca="false">INDEX('Chiến dịch'!$C:$C,MATCH(A7,'Chiến dịch'!$A:$A,0))</f>
        <v>TOPTOTOES x BIELENDA</v>
      </c>
      <c r="C7" s="2" t="n">
        <v>1</v>
      </c>
      <c r="D7" s="2" t="s">
        <v>295</v>
      </c>
      <c r="E7" s="6"/>
    </row>
    <row r="8" customFormat="false" ht="15" hidden="false" customHeight="false" outlineLevel="0" collapsed="false">
      <c r="A8" s="2" t="s">
        <v>36</v>
      </c>
      <c r="B8" s="11" t="str">
        <f aca="false">INDEX('Chiến dịch'!$C:$C,MATCH(A8,'Chiến dịch'!$A:$A,0))</f>
        <v>TOPTOTOES x BIELENDA</v>
      </c>
      <c r="C8" s="2" t="n">
        <v>2</v>
      </c>
      <c r="D8" s="2" t="s">
        <v>296</v>
      </c>
      <c r="E8" s="6"/>
    </row>
    <row r="9" customFormat="false" ht="15" hidden="false" customHeight="false" outlineLevel="0" collapsed="false">
      <c r="A9" s="2" t="s">
        <v>36</v>
      </c>
      <c r="B9" s="11" t="str">
        <f aca="false">INDEX('Chiến dịch'!$C:$C,MATCH(A9,'Chiến dịch'!$A:$A,0))</f>
        <v>TOPTOTOES x BIELENDA</v>
      </c>
      <c r="C9" s="2" t="n">
        <v>3</v>
      </c>
      <c r="D9" s="2" t="s">
        <v>297</v>
      </c>
      <c r="E9" s="6"/>
    </row>
    <row r="10" customFormat="false" ht="15" hidden="false" customHeight="false" outlineLevel="0" collapsed="false">
      <c r="A10" s="2" t="s">
        <v>36</v>
      </c>
      <c r="B10" s="11" t="str">
        <f aca="false">INDEX('Chiến dịch'!$C:$C,MATCH(A10,'Chiến dịch'!$A:$A,0))</f>
        <v>TOPTOTOES x BIELENDA</v>
      </c>
      <c r="C10" s="2" t="n">
        <v>4</v>
      </c>
      <c r="D10" s="2" t="s">
        <v>298</v>
      </c>
      <c r="E10" s="6"/>
    </row>
    <row r="11" customFormat="false" ht="15" hidden="false" customHeight="false" outlineLevel="0" collapsed="false">
      <c r="A11" s="2" t="s">
        <v>36</v>
      </c>
      <c r="B11" s="11" t="str">
        <f aca="false">INDEX('Chiến dịch'!$C:$C,MATCH(A11,'Chiến dịch'!$A:$A,0))</f>
        <v>TOPTOTOES x BIELENDA</v>
      </c>
      <c r="C11" s="2" t="n">
        <v>5</v>
      </c>
      <c r="D11" s="2" t="s">
        <v>299</v>
      </c>
      <c r="E11" s="6"/>
    </row>
    <row r="12" customFormat="false" ht="15" hidden="false" customHeight="false" outlineLevel="0" collapsed="false">
      <c r="A12" s="2" t="s">
        <v>36</v>
      </c>
      <c r="B12" s="11" t="str">
        <f aca="false">INDEX('Chiến dịch'!$C:$C,MATCH(A12,'Chiến dịch'!$A:$A,0))</f>
        <v>TOPTOTOES x BIELENDA</v>
      </c>
      <c r="C12" s="2" t="n">
        <v>6</v>
      </c>
      <c r="D12" s="2" t="s">
        <v>300</v>
      </c>
      <c r="E12" s="6"/>
    </row>
    <row r="13" customFormat="false" ht="15" hidden="false" customHeight="false" outlineLevel="0" collapsed="false">
      <c r="A13" s="2" t="s">
        <v>36</v>
      </c>
      <c r="B13" s="11" t="str">
        <f aca="false">INDEX('Chiến dịch'!$C:$C,MATCH(A13,'Chiến dịch'!$A:$A,0))</f>
        <v>TOPTOTOES x BIELENDA</v>
      </c>
      <c r="C13" s="2" t="n">
        <v>7</v>
      </c>
      <c r="D13" s="2" t="s">
        <v>301</v>
      </c>
      <c r="E13" s="6"/>
    </row>
    <row r="14" customFormat="false" ht="15" hidden="false" customHeight="false" outlineLevel="0" collapsed="false">
      <c r="A14" s="2" t="s">
        <v>36</v>
      </c>
      <c r="B14" s="11" t="str">
        <f aca="false">INDEX('Chiến dịch'!$C:$C,MATCH(A14,'Chiến dịch'!$A:$A,0))</f>
        <v>TOPTOTOES x BIELENDA</v>
      </c>
      <c r="C14" s="2" t="n">
        <v>8</v>
      </c>
      <c r="D14" s="2" t="s">
        <v>302</v>
      </c>
      <c r="E14" s="6"/>
    </row>
    <row r="15" customFormat="false" ht="15" hidden="false" customHeight="false" outlineLevel="0" collapsed="false">
      <c r="A15" s="2" t="s">
        <v>36</v>
      </c>
      <c r="B15" s="11" t="str">
        <f aca="false">INDEX('Chiến dịch'!$C:$C,MATCH(A15,'Chiến dịch'!$A:$A,0))</f>
        <v>TOPTOTOES x BIELENDA</v>
      </c>
      <c r="C15" s="2" t="n">
        <v>9</v>
      </c>
      <c r="D15" s="2" t="s">
        <v>303</v>
      </c>
      <c r="E15" s="6"/>
    </row>
    <row r="16" customFormat="false" ht="15" hidden="false" customHeight="false" outlineLevel="0" collapsed="false">
      <c r="A16" s="2" t="s">
        <v>36</v>
      </c>
      <c r="B16" s="11" t="str">
        <f aca="false">INDEX('Chiến dịch'!$C:$C,MATCH(A16,'Chiến dịch'!$A:$A,0))</f>
        <v>TOPTOTOES x BIELENDA</v>
      </c>
      <c r="C16" s="2" t="n">
        <v>10</v>
      </c>
      <c r="D16" s="2" t="s">
        <v>304</v>
      </c>
      <c r="E16" s="6"/>
    </row>
    <row r="17" customFormat="false" ht="23.85" hidden="false" customHeight="false" outlineLevel="0" collapsed="false">
      <c r="A17" s="2" t="s">
        <v>44</v>
      </c>
      <c r="B17" s="11" t="str">
        <f aca="false">INDEX('Chiến dịch'!$C:$C,MATCH(A17,'Chiến dịch'!$A:$A,0))</f>
        <v>REDUBEAUTY x LYSMILEGO</v>
      </c>
      <c r="C17" s="2" t="n">
        <v>1</v>
      </c>
      <c r="D17" s="2" t="s">
        <v>305</v>
      </c>
      <c r="E17" s="6"/>
    </row>
    <row r="18" customFormat="false" ht="23.85" hidden="false" customHeight="false" outlineLevel="0" collapsed="false">
      <c r="A18" s="2" t="s">
        <v>44</v>
      </c>
      <c r="B18" s="11" t="str">
        <f aca="false">INDEX('Chiến dịch'!$C:$C,MATCH(A18,'Chiến dịch'!$A:$A,0))</f>
        <v>REDUBEAUTY x LYSMILEGO</v>
      </c>
      <c r="C18" s="2" t="n">
        <v>2</v>
      </c>
      <c r="D18" s="2" t="s">
        <v>306</v>
      </c>
      <c r="E18" s="6"/>
    </row>
    <row r="19" customFormat="false" ht="23.85" hidden="false" customHeight="false" outlineLevel="0" collapsed="false">
      <c r="A19" s="2" t="s">
        <v>44</v>
      </c>
      <c r="B19" s="11" t="str">
        <f aca="false">INDEX('Chiến dịch'!$C:$C,MATCH(A19,'Chiến dịch'!$A:$A,0))</f>
        <v>REDUBEAUTY x LYSMILEGO</v>
      </c>
      <c r="C19" s="2" t="n">
        <v>3</v>
      </c>
      <c r="D19" s="2" t="s">
        <v>307</v>
      </c>
      <c r="E1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5" hidden="false" customHeight="false" outlineLevel="0" collapsed="false">
      <c r="A1" s="14" t="s">
        <v>308</v>
      </c>
      <c r="B1" s="15"/>
    </row>
    <row r="2" customFormat="false" ht="15" hidden="false" customHeight="false" outlineLevel="0" collapsed="false">
      <c r="A2" s="16" t="s">
        <v>309</v>
      </c>
      <c r="B2" s="15" t="s">
        <v>310</v>
      </c>
    </row>
    <row r="3" customFormat="false" ht="15" hidden="false" customHeight="false" outlineLevel="0" collapsed="false">
      <c r="A3" s="17" t="s">
        <v>311</v>
      </c>
      <c r="B3" s="15" t="s">
        <v>312</v>
      </c>
    </row>
    <row r="4" customFormat="false" ht="15" hidden="false" customHeight="false" outlineLevel="0" collapsed="false">
      <c r="A4" s="18" t="s">
        <v>313</v>
      </c>
      <c r="B4" s="15" t="s">
        <v>314</v>
      </c>
    </row>
    <row r="5" customFormat="false" ht="23.85" hidden="false" customHeight="false" outlineLevel="0" collapsed="false">
      <c r="A5" s="19" t="s">
        <v>315</v>
      </c>
      <c r="B5" s="15" t="s">
        <v>316</v>
      </c>
    </row>
    <row r="6" customFormat="false" ht="15" hidden="false" customHeight="false" outlineLevel="0" collapsed="false">
      <c r="A6" s="19" t="s">
        <v>317</v>
      </c>
      <c r="B6" s="15" t="s">
        <v>318</v>
      </c>
    </row>
    <row r="7" customFormat="false" ht="23.85" hidden="false" customHeight="false" outlineLevel="0" collapsed="false">
      <c r="A7" s="19" t="s">
        <v>319</v>
      </c>
      <c r="B7" s="15" t="s">
        <v>320</v>
      </c>
    </row>
    <row r="8" customFormat="false" ht="23.85" hidden="false" customHeight="false" outlineLevel="0" collapsed="false">
      <c r="A8" s="19" t="s">
        <v>321</v>
      </c>
      <c r="B8" s="15" t="s">
        <v>322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2026-10-06T13:51:37Z</dcterms:created>
  <dc:creator>openpyxl</dc:creator>
  <dc:description/>
  <dc:language>en-US</dc:language>
  <cp:lastModifiedBy/>
  <dcterms:modified xsi:type="dcterms:W3CDTF">2026-10-06T13:51:37Z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